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em\Desktop\CNC\soho app\CNCxSOHO-Import-Tracker\attached_assets\"/>
    </mc:Choice>
  </mc:AlternateContent>
  <xr:revisionPtr revIDLastSave="0" documentId="13_ncr:1_{211AE5D5-AB09-4A6E-97F8-F7D0A0A757C0}" xr6:coauthVersionLast="47" xr6:coauthVersionMax="47" xr10:uidLastSave="{00000000-0000-0000-0000-000000000000}"/>
  <bookViews>
    <workbookView xWindow="-120" yWindow="-120" windowWidth="29040" windowHeight="15840" xr2:uid="{99C09B35-1A02-4E3F-9E0C-D29ABF936A96}"/>
  </bookViews>
  <sheets>
    <sheet name="Invoice" sheetId="1" r:id="rId1"/>
    <sheet name="Packing List - Pallets" sheetId="2" r:id="rId2"/>
  </sheets>
  <definedNames>
    <definedName name="_xlnm._FilterDatabase" localSheetId="0" hidden="1">Invoice!$B$19:$K$24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H30" i="2" l="1"/>
  <c r="H31" i="2"/>
  <c r="H32" i="2"/>
  <c r="H29" i="2"/>
  <c r="B17" i="2"/>
  <c r="E6" i="2"/>
  <c r="H4" i="2"/>
  <c r="E4" i="2"/>
  <c r="D21" i="2"/>
  <c r="C21" i="2"/>
  <c r="G25" i="1" l="1"/>
  <c r="K25" i="1" l="1"/>
</calcChain>
</file>

<file path=xl/sharedStrings.xml><?xml version="1.0" encoding="utf-8"?>
<sst xmlns="http://schemas.openxmlformats.org/spreadsheetml/2006/main" count="109" uniqueCount="71">
  <si>
    <t>COMMERCIAL INVOICE</t>
  </si>
  <si>
    <t>1. Shipper</t>
  </si>
  <si>
    <t>9. Invoice No</t>
  </si>
  <si>
    <t>10.  Invoice Date</t>
  </si>
  <si>
    <t>12. PO / Order No.</t>
  </si>
  <si>
    <t>4. Port of loading</t>
  </si>
  <si>
    <t>5. Final destination</t>
  </si>
  <si>
    <t>15. Payment Term</t>
  </si>
  <si>
    <t>6. Shipment Mode</t>
  </si>
  <si>
    <t>7. Shipment Term</t>
  </si>
  <si>
    <t>8. Description of goods</t>
  </si>
  <si>
    <t>Style No.</t>
  </si>
  <si>
    <t>Made In</t>
  </si>
  <si>
    <t>Qty</t>
  </si>
  <si>
    <t>UOM</t>
  </si>
  <si>
    <t>Currency</t>
  </si>
  <si>
    <t>Unit Price</t>
  </si>
  <si>
    <t>Amount</t>
  </si>
  <si>
    <t>CN</t>
  </si>
  <si>
    <t>USD</t>
  </si>
  <si>
    <t>Grand Total</t>
  </si>
  <si>
    <t>GROSS WEIGHT IN KGS</t>
  </si>
  <si>
    <t>MEAS/CBM</t>
  </si>
  <si>
    <t>TOTAL PALLETS</t>
  </si>
  <si>
    <t xml:space="preserve">SUMMARY PACKING LIST </t>
  </si>
  <si>
    <t xml:space="preserve">No. of Pallets </t>
  </si>
  <si>
    <t>Gross Wt (kgs)</t>
  </si>
  <si>
    <t>GRAND TOTAL</t>
  </si>
  <si>
    <t>TOTAL CARTONS</t>
  </si>
  <si>
    <t>EX-WORKS</t>
  </si>
  <si>
    <t>AIR</t>
  </si>
  <si>
    <t>AT 30 DAYS</t>
  </si>
  <si>
    <t>2. Importer / Bill To</t>
  </si>
  <si>
    <t>Pallet Dimension
( L x B x H Cm/In)</t>
  </si>
  <si>
    <t>11. Invoice Referance</t>
  </si>
  <si>
    <t>3. Final Place of Delivery</t>
  </si>
  <si>
    <t>12. Final Place of Delivery</t>
  </si>
  <si>
    <t>I/We hereby certify that the information on this invoice is true and correct and that the contents of this shipment are as stated above.</t>
  </si>
  <si>
    <r>
      <t>Signed by …………………….</t>
    </r>
    <r>
      <rPr>
        <i/>
        <sz val="10"/>
        <rFont val="Sylfaen"/>
        <family val="1"/>
      </rPr>
      <t>(Affix Company Stamp here)</t>
    </r>
  </si>
  <si>
    <r>
      <t>Signed by …………………….</t>
    </r>
    <r>
      <rPr>
        <i/>
        <sz val="10"/>
        <rFont val="Sylfaen"/>
        <family val="1"/>
      </rPr>
      <t>(Affix Company Stamp Here)</t>
    </r>
  </si>
  <si>
    <t>ISTANBUL, TURKEY</t>
  </si>
  <si>
    <t>Style Description</t>
  </si>
  <si>
    <t>HTS CODE</t>
  </si>
  <si>
    <t xml:space="preserve">Composition Of 
Material </t>
  </si>
  <si>
    <t>SOHO PERAKENDE YATIRIM VE TICARET ANONIM SIRKETI
TEKFEN TOWER, BUILDING NUMBER: NO:209/16, ESENTEPE MAH. BÜYÜKDERE CAD., POSTAL CODE: 34394, ŞIŞLI, ISTANBUL. TURKEY
CONTACT : NILESH KAMBLE. EMAIL: N.KAMBLE@SOHOME.AE. MOBILE: +971 56 433 0965.VAT NO. 7721648087</t>
  </si>
  <si>
    <t>ULUSTRANS LOGISGTICS
ÖMERLI MAHALLESI, KAZAN SOKAK, 14. CADDE NO:22, ARNAVUTKÖY / İSTANBUL. POSTAL CODE: 34555. TURKEY. CONTACT PERSON: NILESH KAMBLE. EMAIL: N.KAMBLE@SOHOME.AE.  // SELÇUK KÖKSAL, 
+90 546 456 28 03 / SELCUK.KOKSAL@ULUSTRANS.COM</t>
  </si>
  <si>
    <t>FOOTWEAR</t>
  </si>
  <si>
    <t>W/H Invoice REF NO: 26916518, 25947372, V8482463, 27362393</t>
  </si>
  <si>
    <t>53598062, 53598053, 53598054</t>
  </si>
  <si>
    <t>SP26 TUR US FTW UNIT - 26916518, SP26 TU RUNNER CHASE - 25947372, FA25 TUR FTW CHASE - V8482463, SU26 TU ECOMM FTW - 27362393</t>
  </si>
  <si>
    <t>A0590U</t>
  </si>
  <si>
    <t>Footwear - Running</t>
  </si>
  <si>
    <t>UPPER: SYNTHETIC TEXTILE&gt;LINING &amp; IN...</t>
  </si>
  <si>
    <t>PCS</t>
  </si>
  <si>
    <t xml:space="preserve">CN </t>
  </si>
  <si>
    <t>A0669U</t>
  </si>
  <si>
    <t>Footwear - Recovery</t>
  </si>
  <si>
    <t>UPPER: SYNTHETIC TEXTILE&gt;LINING: SY...</t>
  </si>
  <si>
    <t>A0685U</t>
  </si>
  <si>
    <t>A0891U</t>
  </si>
  <si>
    <t>Footwear - Street</t>
  </si>
  <si>
    <t>UPPER: COWHIDE LEATHER&gt;LINING &amp; IN...</t>
  </si>
  <si>
    <t>US</t>
  </si>
  <si>
    <t>6404.11.00.00.00</t>
  </si>
  <si>
    <t>6404.19.10.00.00</t>
  </si>
  <si>
    <t>6402.99.93.00.00</t>
  </si>
  <si>
    <t>6403.19.00.00.00</t>
  </si>
  <si>
    <t>ALO, LLC
9830 WILSHIRE BLVD, BEVERLY HILLS, CALIFORNIA 90212, 
UNITED STATES OF AMERICA
ATTN: JOSEPHINE PENNEY: C: 323.891.5313 
JOSEPHINE.PENNEY@ALOYOGA.COM</t>
  </si>
  <si>
    <t>LOS ANGELES, USA</t>
  </si>
  <si>
    <t>106.68x121.92x114.3</t>
  </si>
  <si>
    <t>106.68x121.92x53.34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</si>
</sst>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([$USD]\ * #,##0.00_);_([$USD]\ * \(#,##0.00\);_([$USD]\ 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Sylfaen"/>
      <family val="1"/>
    </font>
    <font>
      <b/>
      <sz val="10"/>
      <name val="Sylfaen"/>
      <family val="1"/>
    </font>
    <font>
      <b/>
      <sz val="10"/>
      <color rgb="FFFF0000"/>
      <name val="Sylfaen"/>
      <family val="1"/>
    </font>
    <font>
      <sz val="10"/>
      <name val="Sylfaen"/>
      <family val="1"/>
    </font>
    <font>
      <b/>
      <sz val="10"/>
      <color rgb="FF0000FF"/>
      <name val="Sylfaen"/>
      <family val="1"/>
    </font>
    <font>
      <b/>
      <sz val="10"/>
      <color theme="1"/>
      <name val="Sylfaen"/>
      <family val="1"/>
    </font>
    <font>
      <b/>
      <sz val="10"/>
      <color rgb="FF000000"/>
      <name val="Sylfaen"/>
      <family val="1"/>
    </font>
    <font>
      <sz val="10"/>
      <color theme="1"/>
      <name val="Sylfaen"/>
      <family val="1"/>
    </font>
    <font>
      <b/>
      <sz val="10"/>
      <color theme="0"/>
      <name val="Sylfaen"/>
      <family val="1"/>
    </font>
    <font>
      <i/>
      <sz val="10"/>
      <name val="Sylfaen"/>
      <family val="1"/>
    </font>
    <font>
      <sz val="10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6">
    <xf numFmtId="0" fontId="0" fillId="0" borderId="0" xfId="0"/>
    <xf numFmtId="0" fontId="3" fillId="0" borderId="27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vertical="center"/>
    </xf>
    <xf numFmtId="0" fontId="6" fillId="0" borderId="8" xfId="1" applyFont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165" fontId="6" fillId="0" borderId="17" xfId="1" applyNumberFormat="1" applyFont="1" applyBorder="1" applyAlignment="1">
      <alignment vertical="center"/>
    </xf>
    <xf numFmtId="0" fontId="3" fillId="0" borderId="0" xfId="1" applyFont="1" applyAlignment="1">
      <alignment horizontal="left"/>
    </xf>
    <xf numFmtId="4" fontId="4" fillId="0" borderId="0" xfId="1" applyNumberFormat="1" applyFont="1" applyAlignment="1">
      <alignment horizontal="center"/>
    </xf>
    <xf numFmtId="0" fontId="3" fillId="0" borderId="17" xfId="1" applyFont="1" applyBorder="1"/>
    <xf numFmtId="0" fontId="5" fillId="0" borderId="8" xfId="1" applyFont="1" applyBorder="1"/>
    <xf numFmtId="0" fontId="5" fillId="0" borderId="0" xfId="1" applyFont="1"/>
    <xf numFmtId="0" fontId="3" fillId="0" borderId="0" xfId="1" applyFont="1"/>
    <xf numFmtId="0" fontId="5" fillId="0" borderId="17" xfId="1" applyFont="1" applyBorder="1"/>
    <xf numFmtId="0" fontId="3" fillId="0" borderId="30" xfId="1" applyFont="1" applyBorder="1"/>
    <xf numFmtId="0" fontId="5" fillId="0" borderId="31" xfId="1" applyFont="1" applyBorder="1"/>
    <xf numFmtId="0" fontId="3" fillId="0" borderId="31" xfId="1" applyFont="1" applyBorder="1"/>
    <xf numFmtId="0" fontId="5" fillId="0" borderId="32" xfId="1" applyFont="1" applyBorder="1"/>
    <xf numFmtId="0" fontId="5" fillId="0" borderId="30" xfId="1" applyFont="1" applyBorder="1"/>
    <xf numFmtId="0" fontId="5" fillId="0" borderId="31" xfId="1" applyFont="1" applyBorder="1" applyAlignment="1">
      <alignment horizontal="left"/>
    </xf>
    <xf numFmtId="0" fontId="3" fillId="0" borderId="31" xfId="1" applyFont="1" applyBorder="1" applyAlignment="1">
      <alignment horizontal="left"/>
    </xf>
    <xf numFmtId="4" fontId="3" fillId="0" borderId="31" xfId="1" applyNumberFormat="1" applyFont="1" applyBorder="1" applyAlignment="1">
      <alignment horizontal="right"/>
    </xf>
    <xf numFmtId="0" fontId="3" fillId="0" borderId="32" xfId="1" applyFont="1" applyBorder="1"/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left"/>
    </xf>
    <xf numFmtId="0" fontId="7" fillId="0" borderId="0" xfId="1" applyFont="1" applyAlignment="1">
      <alignment horizontal="center" vertic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4" fontId="3" fillId="0" borderId="0" xfId="1" applyNumberFormat="1" applyFont="1" applyAlignment="1">
      <alignment horizontal="right"/>
    </xf>
    <xf numFmtId="3" fontId="5" fillId="0" borderId="38" xfId="1" applyNumberFormat="1" applyFont="1" applyBorder="1" applyAlignment="1">
      <alignment horizontal="center" vertical="center"/>
    </xf>
    <xf numFmtId="3" fontId="5" fillId="0" borderId="20" xfId="1" applyNumberFormat="1" applyFont="1" applyBorder="1" applyAlignment="1">
      <alignment horizontal="center" vertical="center"/>
    </xf>
    <xf numFmtId="4" fontId="5" fillId="0" borderId="20" xfId="1" applyNumberFormat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/>
    </xf>
    <xf numFmtId="4" fontId="5" fillId="0" borderId="38" xfId="1" applyNumberFormat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1" applyFont="1" applyAlignment="1">
      <alignment vertical="center"/>
    </xf>
    <xf numFmtId="0" fontId="9" fillId="0" borderId="0" xfId="0" applyFont="1"/>
    <xf numFmtId="0" fontId="10" fillId="2" borderId="26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38" xfId="1" applyFont="1" applyBorder="1" applyAlignment="1">
      <alignment horizontal="center" vertical="center" wrapText="1" shrinkToFit="1"/>
    </xf>
    <xf numFmtId="0" fontId="5" fillId="0" borderId="38" xfId="1" applyFont="1" applyBorder="1" applyAlignment="1">
      <alignment horizontal="center" vertical="center"/>
    </xf>
    <xf numFmtId="165" fontId="5" fillId="0" borderId="42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20" xfId="1" applyFont="1" applyBorder="1" applyAlignment="1">
      <alignment horizontal="center" vertical="center" wrapText="1" shrinkToFit="1"/>
    </xf>
    <xf numFmtId="0" fontId="5" fillId="0" borderId="20" xfId="1" applyFont="1" applyBorder="1" applyAlignment="1">
      <alignment horizontal="center" vertical="center"/>
    </xf>
    <xf numFmtId="165" fontId="5" fillId="0" borderId="21" xfId="1" applyNumberFormat="1" applyFont="1" applyBorder="1" applyAlignment="1">
      <alignment horizontal="center" vertical="center"/>
    </xf>
    <xf numFmtId="3" fontId="3" fillId="0" borderId="26" xfId="1" applyNumberFormat="1" applyFont="1" applyBorder="1" applyAlignment="1">
      <alignment horizontal="center" vertical="center"/>
    </xf>
    <xf numFmtId="165" fontId="3" fillId="0" borderId="26" xfId="1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9" fillId="0" borderId="17" xfId="0" applyFont="1" applyBorder="1"/>
    <xf numFmtId="0" fontId="10" fillId="2" borderId="4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17" xfId="0" applyFont="1" applyFill="1" applyBorder="1" applyAlignment="1">
      <alignment vertical="center"/>
    </xf>
    <xf numFmtId="0" fontId="10" fillId="2" borderId="26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4" fillId="0" borderId="0" xfId="0" applyFont="1"/>
    <xf numFmtId="0" fontId="3" fillId="0" borderId="26" xfId="1" applyFont="1" applyBorder="1" applyAlignment="1">
      <alignment horizontal="center" vertical="center" wrapText="1"/>
    </xf>
    <xf numFmtId="0" fontId="5" fillId="0" borderId="43" xfId="1" quotePrefix="1" applyFont="1" applyBorder="1" applyAlignment="1">
      <alignment horizontal="center" vertical="center" wrapText="1"/>
    </xf>
    <xf numFmtId="0" fontId="5" fillId="0" borderId="22" xfId="1" quotePrefix="1" applyFont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3" fontId="3" fillId="0" borderId="47" xfId="1" applyNumberFormat="1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0" fillId="2" borderId="23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3" fillId="0" borderId="8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3" fillId="0" borderId="8" xfId="1" applyFont="1" applyBorder="1" applyAlignment="1">
      <alignment horizontal="left" vertical="top"/>
    </xf>
    <xf numFmtId="0" fontId="3" fillId="0" borderId="11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17" xfId="1" applyFont="1" applyBorder="1" applyAlignment="1">
      <alignment horizontal="left" vertical="top" wrapText="1"/>
    </xf>
    <xf numFmtId="0" fontId="10" fillId="2" borderId="23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10" fillId="2" borderId="24" xfId="0" applyFont="1" applyFill="1" applyBorder="1" applyAlignment="1">
      <alignment horizontal="center" vertical="center"/>
    </xf>
    <xf numFmtId="0" fontId="7" fillId="0" borderId="1" xfId="1" quotePrefix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164" fontId="7" fillId="0" borderId="1" xfId="1" applyNumberFormat="1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3" fontId="7" fillId="0" borderId="19" xfId="1" quotePrefix="1" applyNumberFormat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17" xfId="1" applyFont="1" applyBorder="1" applyAlignment="1">
      <alignment horizontal="left" vertical="center"/>
    </xf>
    <xf numFmtId="3" fontId="7" fillId="0" borderId="19" xfId="1" quotePrefix="1" applyNumberFormat="1" applyFont="1" applyBorder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3" fillId="0" borderId="0" xfId="1" applyFont="1" applyAlignment="1">
      <alignment horizontal="left"/>
    </xf>
    <xf numFmtId="0" fontId="3" fillId="0" borderId="23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3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0" fontId="3" fillId="0" borderId="29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30" xfId="1" applyFont="1" applyBorder="1" applyAlignment="1">
      <alignment horizontal="left" vertical="center"/>
    </xf>
    <xf numFmtId="0" fontId="7" fillId="0" borderId="31" xfId="1" applyFont="1" applyBorder="1" applyAlignment="1">
      <alignment horizontal="left" vertical="center"/>
    </xf>
    <xf numFmtId="0" fontId="7" fillId="0" borderId="32" xfId="1" applyFont="1" applyBorder="1" applyAlignment="1">
      <alignment horizontal="left" vertical="center"/>
    </xf>
    <xf numFmtId="0" fontId="7" fillId="0" borderId="23" xfId="1" applyFont="1" applyBorder="1" applyAlignment="1">
      <alignment horizontal="left" vertical="center" wrapText="1"/>
    </xf>
    <xf numFmtId="0" fontId="7" fillId="0" borderId="24" xfId="1" applyFont="1" applyBorder="1" applyAlignment="1">
      <alignment horizontal="left" vertical="center" wrapText="1"/>
    </xf>
    <xf numFmtId="0" fontId="7" fillId="0" borderId="24" xfId="1" applyFont="1" applyBorder="1" applyAlignment="1">
      <alignment horizontal="left" vertical="center"/>
    </xf>
    <xf numFmtId="0" fontId="3" fillId="0" borderId="24" xfId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center"/>
    </xf>
    <xf numFmtId="0" fontId="8" fillId="0" borderId="5" xfId="1" applyFont="1" applyBorder="1" applyAlignment="1">
      <alignment horizontal="left" vertical="center"/>
    </xf>
    <xf numFmtId="0" fontId="8" fillId="0" borderId="7" xfId="1" applyFont="1" applyBorder="1" applyAlignment="1">
      <alignment horizontal="left" vertical="center"/>
    </xf>
    <xf numFmtId="0" fontId="3" fillId="0" borderId="2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7" fillId="0" borderId="12" xfId="1" applyFont="1" applyBorder="1" applyAlignment="1">
      <alignment horizontal="left" vertical="center" wrapText="1"/>
    </xf>
    <xf numFmtId="0" fontId="7" fillId="0" borderId="19" xfId="1" applyFont="1" applyBorder="1" applyAlignment="1">
      <alignment horizontal="left" vertical="center" wrapText="1"/>
    </xf>
    <xf numFmtId="0" fontId="10" fillId="2" borderId="2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3" fillId="0" borderId="16" xfId="1" applyFont="1" applyBorder="1" applyAlignment="1">
      <alignment horizontal="left"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3" fillId="0" borderId="2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top"/>
    </xf>
    <xf numFmtId="0" fontId="7" fillId="0" borderId="19" xfId="1" quotePrefix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164" fontId="7" fillId="0" borderId="19" xfId="1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4" fontId="7" fillId="0" borderId="17" xfId="1" applyNumberFormat="1" applyFont="1" applyBorder="1" applyAlignment="1">
      <alignment horizontal="center" vertical="center"/>
    </xf>
    <xf numFmtId="3" fontId="7" fillId="0" borderId="0" xfId="1" quotePrefix="1" applyNumberFormat="1" applyFont="1" applyAlignment="1">
      <alignment horizontal="left" vertical="center"/>
    </xf>
    <xf numFmtId="3" fontId="7" fillId="0" borderId="17" xfId="1" quotePrefix="1" applyNumberFormat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/>
    </xf>
    <xf numFmtId="0" fontId="3" fillId="0" borderId="33" xfId="1" applyFont="1" applyBorder="1" applyAlignment="1">
      <alignment horizontal="center" vertical="top"/>
    </xf>
    <xf numFmtId="0" fontId="3" fillId="0" borderId="34" xfId="1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4" fontId="5" fillId="0" borderId="36" xfId="1" applyNumberFormat="1" applyFont="1" applyBorder="1" applyAlignment="1">
      <alignment horizontal="center" vertical="center"/>
    </xf>
    <xf numFmtId="4" fontId="5" fillId="0" borderId="37" xfId="1" applyNumberFormat="1" applyFont="1" applyBorder="1" applyAlignment="1">
      <alignment horizontal="center" vertical="center"/>
    </xf>
    <xf numFmtId="4" fontId="5" fillId="0" borderId="20" xfId="1" applyNumberFormat="1" applyFont="1" applyBorder="1" applyAlignment="1">
      <alignment horizontal="center" vertical="center"/>
    </xf>
    <xf numFmtId="4" fontId="5" fillId="0" borderId="21" xfId="1" applyNumberFormat="1" applyFont="1" applyBorder="1" applyAlignment="1">
      <alignment horizontal="center" vertical="center"/>
    </xf>
    <xf numFmtId="4" fontId="3" fillId="0" borderId="48" xfId="1" applyNumberFormat="1" applyFont="1" applyBorder="1" applyAlignment="1">
      <alignment horizontal="center" vertical="center"/>
    </xf>
    <xf numFmtId="4" fontId="3" fillId="0" borderId="49" xfId="1" applyNumberFormat="1" applyFont="1" applyBorder="1" applyAlignment="1">
      <alignment horizontal="center" vertical="center"/>
    </xf>
    <xf numFmtId="4" fontId="3" fillId="0" borderId="50" xfId="1" applyNumberFormat="1" applyFont="1" applyBorder="1" applyAlignment="1">
      <alignment horizontal="center" vertical="center"/>
    </xf>
    <xf numFmtId="0" fontId="8" fillId="0" borderId="23" xfId="1" applyFont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8" fillId="0" borderId="25" xfId="1" applyFont="1" applyBorder="1" applyAlignment="1">
      <alignment horizontal="left" vertical="center"/>
    </xf>
  </cellXfs>
  <cellStyles count="3">
    <cellStyle name="Normal" xfId="0" builtinId="0"/>
    <cellStyle name="Normal_125 DRT NOV 05, 2009 DMM" xfId="2" xr:uid="{494DDA15-B02E-4EC3-AF1B-3CD5BBE138B7}"/>
    <cellStyle name="Normal_Commercial Invoice Sample format_125 DRT NOV 05, 2009 DMM" xfId="1" xr:uid="{4CF9026E-88BD-4EED-A86F-E7CF404F38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02D1-1DF4-450D-84A6-F0EF8E99B923}">
  <sheetPr codeName="Sheet2">
    <pageSetUpPr fitToPage="1"/>
  </sheetPr>
  <dimension ref="B1:K39"/>
  <sheetViews>
    <sheetView tabSelected="1" view="pageBreakPreview" zoomScaleNormal="100" zoomScaleSheetLayoutView="100" workbookViewId="0">
      <selection activeCell="B3" sqref="B3:D3"/>
    </sheetView>
  </sheetViews>
  <sheetFormatPr defaultColWidth="9.140625" defaultRowHeight="15" x14ac:dyDescent="0.3"/>
  <cols>
    <col min="1" max="1" width="1.5703125" style="40" customWidth="1"/>
    <col min="2" max="2" width="22.5703125" style="40" customWidth="1"/>
    <col min="3" max="3" width="21.5703125" style="40" customWidth="1"/>
    <col min="4" max="4" width="24" style="40" customWidth="1"/>
    <col min="5" max="5" width="41.140625" style="40" customWidth="1"/>
    <col min="6" max="6" width="16.140625" style="40" customWidth="1"/>
    <col min="7" max="7" width="4.42578125" style="40" bestFit="1" customWidth="1"/>
    <col min="8" max="8" width="5.85546875" style="40" bestFit="1" customWidth="1"/>
    <col min="9" max="9" width="10.140625" style="40" customWidth="1"/>
    <col min="10" max="10" width="9.85546875" style="40" customWidth="1"/>
    <col min="11" max="11" width="15.85546875" style="40" customWidth="1"/>
    <col min="12" max="12" width="9.140625" style="40"/>
    <col min="13" max="13" width="12.5703125" style="40" bestFit="1" customWidth="1"/>
    <col min="14" max="16384" width="9.140625" style="40"/>
  </cols>
  <sheetData>
    <row r="1" spans="2:11" ht="15.75" thickBot="1" x14ac:dyDescent="0.35"/>
    <row r="2" spans="2:11" ht="27.75" thickBot="1" x14ac:dyDescent="0.5">
      <c r="B2" s="92" t="s">
        <v>0</v>
      </c>
      <c r="C2" s="93"/>
      <c r="D2" s="93"/>
      <c r="E2" s="93"/>
      <c r="F2" s="93"/>
      <c r="G2" s="93"/>
      <c r="H2" s="93"/>
      <c r="I2" s="93"/>
      <c r="J2" s="93"/>
      <c r="K2" s="94"/>
    </row>
    <row r="3" spans="2:11" ht="15.75" thickBot="1" x14ac:dyDescent="0.35">
      <c r="B3" s="77" t="s">
        <v>1</v>
      </c>
      <c r="C3" s="78"/>
      <c r="D3" s="78"/>
      <c r="E3" s="77" t="s">
        <v>2</v>
      </c>
      <c r="F3" s="78"/>
      <c r="G3" s="88"/>
      <c r="H3" s="86" t="s">
        <v>3</v>
      </c>
      <c r="I3" s="95"/>
      <c r="J3" s="95"/>
      <c r="K3" s="87"/>
    </row>
    <row r="4" spans="2:11" ht="15.75" thickBot="1" x14ac:dyDescent="0.35">
      <c r="B4" s="79" t="s">
        <v>67</v>
      </c>
      <c r="C4" s="80"/>
      <c r="D4" s="81"/>
      <c r="E4" s="96">
        <v>53598059</v>
      </c>
      <c r="F4" s="97"/>
      <c r="G4" s="98"/>
      <c r="H4" s="99">
        <v>46155</v>
      </c>
      <c r="I4" s="100"/>
      <c r="J4" s="100"/>
      <c r="K4" s="101"/>
    </row>
    <row r="5" spans="2:11" x14ac:dyDescent="0.3">
      <c r="B5" s="82"/>
      <c r="C5" s="81"/>
      <c r="D5" s="81"/>
      <c r="E5" s="108" t="s">
        <v>34</v>
      </c>
      <c r="F5" s="109"/>
      <c r="G5" s="109"/>
      <c r="H5" s="109"/>
      <c r="I5" s="109"/>
      <c r="J5" s="109"/>
      <c r="K5" s="110"/>
    </row>
    <row r="6" spans="2:11" ht="15.75" thickBot="1" x14ac:dyDescent="0.35">
      <c r="B6" s="82"/>
      <c r="C6" s="81"/>
      <c r="D6" s="81"/>
      <c r="E6" s="102" t="s">
        <v>48</v>
      </c>
      <c r="F6" s="103"/>
      <c r="G6" s="103"/>
      <c r="H6" s="103"/>
      <c r="I6" s="103"/>
      <c r="J6" s="103"/>
      <c r="K6" s="104"/>
    </row>
    <row r="7" spans="2:11" ht="15.75" thickBot="1" x14ac:dyDescent="0.35">
      <c r="B7" s="82"/>
      <c r="C7" s="81"/>
      <c r="D7" s="81"/>
      <c r="E7" s="77" t="s">
        <v>4</v>
      </c>
      <c r="F7" s="78"/>
      <c r="G7" s="78"/>
      <c r="H7" s="78"/>
      <c r="I7" s="78"/>
      <c r="J7" s="78"/>
      <c r="K7" s="88"/>
    </row>
    <row r="8" spans="2:11" ht="23.45" customHeight="1" thickBot="1" x14ac:dyDescent="0.35">
      <c r="B8" s="82"/>
      <c r="C8" s="81"/>
      <c r="D8" s="81"/>
      <c r="E8" s="105" t="s">
        <v>49</v>
      </c>
      <c r="F8" s="106"/>
      <c r="G8" s="106"/>
      <c r="H8" s="106"/>
      <c r="I8" s="106"/>
      <c r="J8" s="106"/>
      <c r="K8" s="107"/>
    </row>
    <row r="9" spans="2:11" ht="15.75" thickBot="1" x14ac:dyDescent="0.35">
      <c r="B9" s="77" t="s">
        <v>32</v>
      </c>
      <c r="C9" s="78"/>
      <c r="D9" s="78"/>
      <c r="E9" s="89" t="s">
        <v>35</v>
      </c>
      <c r="F9" s="90"/>
      <c r="G9" s="90"/>
      <c r="H9" s="90"/>
      <c r="I9" s="90"/>
      <c r="J9" s="90"/>
      <c r="K9" s="91"/>
    </row>
    <row r="10" spans="2:11" ht="24.6" customHeight="1" x14ac:dyDescent="0.3">
      <c r="B10" s="79" t="s">
        <v>44</v>
      </c>
      <c r="C10" s="80"/>
      <c r="D10" s="81"/>
      <c r="E10" s="79" t="s">
        <v>45</v>
      </c>
      <c r="F10" s="83"/>
      <c r="G10" s="83"/>
      <c r="H10" s="83"/>
      <c r="I10" s="83"/>
      <c r="J10" s="83"/>
      <c r="K10" s="84"/>
    </row>
    <row r="11" spans="2:11" ht="24.6" customHeight="1" x14ac:dyDescent="0.3">
      <c r="B11" s="82"/>
      <c r="C11" s="81"/>
      <c r="D11" s="81"/>
      <c r="E11" s="79"/>
      <c r="F11" s="80"/>
      <c r="G11" s="80"/>
      <c r="H11" s="80"/>
      <c r="I11" s="80"/>
      <c r="J11" s="80"/>
      <c r="K11" s="85"/>
    </row>
    <row r="12" spans="2:11" ht="21" customHeight="1" thickBot="1" x14ac:dyDescent="0.35">
      <c r="B12" s="82"/>
      <c r="C12" s="81"/>
      <c r="D12" s="81"/>
      <c r="E12" s="79"/>
      <c r="F12" s="80"/>
      <c r="G12" s="80"/>
      <c r="H12" s="80"/>
      <c r="I12" s="80"/>
      <c r="J12" s="80"/>
      <c r="K12" s="85"/>
    </row>
    <row r="13" spans="2:11" ht="15" customHeight="1" thickBot="1" x14ac:dyDescent="0.35">
      <c r="B13" s="41" t="s">
        <v>5</v>
      </c>
      <c r="C13" s="86" t="s">
        <v>6</v>
      </c>
      <c r="D13" s="87"/>
      <c r="E13" s="77" t="s">
        <v>7</v>
      </c>
      <c r="F13" s="78"/>
      <c r="G13" s="78"/>
      <c r="H13" s="78"/>
      <c r="I13" s="78"/>
      <c r="J13" s="78"/>
      <c r="K13" s="88"/>
    </row>
    <row r="14" spans="2:11" ht="15" customHeight="1" thickBot="1" x14ac:dyDescent="0.35">
      <c r="B14" s="63" t="s">
        <v>68</v>
      </c>
      <c r="C14" s="112" t="s">
        <v>40</v>
      </c>
      <c r="D14" s="113"/>
      <c r="E14" s="114" t="s">
        <v>31</v>
      </c>
      <c r="F14" s="115"/>
      <c r="G14" s="115"/>
      <c r="H14" s="115"/>
      <c r="I14" s="115"/>
      <c r="J14" s="115"/>
      <c r="K14" s="116"/>
    </row>
    <row r="15" spans="2:11" ht="15" customHeight="1" thickBot="1" x14ac:dyDescent="0.35">
      <c r="B15" s="41" t="s">
        <v>8</v>
      </c>
      <c r="C15" s="86" t="s">
        <v>9</v>
      </c>
      <c r="D15" s="87"/>
      <c r="E15" s="77"/>
      <c r="F15" s="78"/>
      <c r="G15" s="78"/>
      <c r="H15" s="78"/>
      <c r="I15" s="78"/>
      <c r="J15" s="78"/>
      <c r="K15" s="88"/>
    </row>
    <row r="16" spans="2:11" ht="15.75" thickBot="1" x14ac:dyDescent="0.35">
      <c r="B16" s="36" t="s">
        <v>30</v>
      </c>
      <c r="C16" s="117" t="s">
        <v>29</v>
      </c>
      <c r="D16" s="118"/>
      <c r="E16" s="119" t="s">
        <v>47</v>
      </c>
      <c r="F16" s="120"/>
      <c r="G16" s="120"/>
      <c r="H16" s="120"/>
      <c r="I16" s="120"/>
      <c r="J16" s="120"/>
      <c r="K16" s="121"/>
    </row>
    <row r="17" spans="2:11" ht="15.75" thickBot="1" x14ac:dyDescent="0.35">
      <c r="B17" s="77" t="s">
        <v>10</v>
      </c>
      <c r="C17" s="78"/>
      <c r="D17" s="78"/>
      <c r="E17" s="122"/>
      <c r="F17" s="103"/>
      <c r="G17" s="103"/>
      <c r="H17" s="103"/>
      <c r="I17" s="103"/>
      <c r="J17" s="103"/>
      <c r="K17" s="104"/>
    </row>
    <row r="18" spans="2:11" ht="33" customHeight="1" thickBot="1" x14ac:dyDescent="0.35">
      <c r="B18" s="126" t="s">
        <v>46</v>
      </c>
      <c r="C18" s="127"/>
      <c r="D18" s="128"/>
      <c r="E18" s="123"/>
      <c r="F18" s="124"/>
      <c r="G18" s="124"/>
      <c r="H18" s="124"/>
      <c r="I18" s="124"/>
      <c r="J18" s="124"/>
      <c r="K18" s="125"/>
    </row>
    <row r="19" spans="2:11" s="42" customFormat="1" ht="30.75" thickBot="1" x14ac:dyDescent="0.35">
      <c r="B19" s="41" t="s">
        <v>11</v>
      </c>
      <c r="C19" s="41" t="s">
        <v>41</v>
      </c>
      <c r="D19" s="41" t="s">
        <v>42</v>
      </c>
      <c r="E19" s="60" t="s">
        <v>43</v>
      </c>
      <c r="F19" s="41" t="s">
        <v>12</v>
      </c>
      <c r="G19" s="41" t="s">
        <v>13</v>
      </c>
      <c r="H19" s="41" t="s">
        <v>14</v>
      </c>
      <c r="I19" s="41" t="s">
        <v>15</v>
      </c>
      <c r="J19" s="60" t="s">
        <v>16</v>
      </c>
      <c r="K19" s="41" t="s">
        <v>17</v>
      </c>
    </row>
    <row r="20" spans="2:11" s="46" customFormat="1" x14ac:dyDescent="0.25">
      <c r="B20" s="64" t="s">
        <v>50</v>
      </c>
      <c r="C20" s="43" t="s">
        <v>51</v>
      </c>
      <c r="D20" s="43" t="s">
        <v>63</v>
      </c>
      <c r="E20" s="43" t="s">
        <v>52</v>
      </c>
      <c r="F20" s="43" t="s">
        <v>18</v>
      </c>
      <c r="G20" s="30">
        <v>25</v>
      </c>
      <c r="H20" s="44" t="s">
        <v>53</v>
      </c>
      <c r="I20" s="44" t="s">
        <v>19</v>
      </c>
      <c r="J20" s="35">
        <v>46.5</v>
      </c>
      <c r="K20" s="45">
        <v>1162.5</v>
      </c>
    </row>
    <row r="21" spans="2:11" s="46" customFormat="1" x14ac:dyDescent="0.25">
      <c r="B21" s="65" t="s">
        <v>50</v>
      </c>
      <c r="C21" s="43" t="s">
        <v>51</v>
      </c>
      <c r="D21" s="43" t="s">
        <v>63</v>
      </c>
      <c r="E21" s="47" t="s">
        <v>52</v>
      </c>
      <c r="F21" s="47" t="s">
        <v>54</v>
      </c>
      <c r="G21" s="31">
        <v>2</v>
      </c>
      <c r="H21" s="48" t="s">
        <v>53</v>
      </c>
      <c r="I21" s="48" t="s">
        <v>19</v>
      </c>
      <c r="J21" s="32">
        <v>46.5</v>
      </c>
      <c r="K21" s="49">
        <v>93</v>
      </c>
    </row>
    <row r="22" spans="2:11" s="46" customFormat="1" x14ac:dyDescent="0.25">
      <c r="B22" s="65" t="s">
        <v>55</v>
      </c>
      <c r="C22" s="47" t="s">
        <v>56</v>
      </c>
      <c r="D22" s="47" t="s">
        <v>64</v>
      </c>
      <c r="E22" s="47" t="s">
        <v>57</v>
      </c>
      <c r="F22" s="47" t="s">
        <v>18</v>
      </c>
      <c r="G22" s="31">
        <v>9</v>
      </c>
      <c r="H22" s="48" t="s">
        <v>53</v>
      </c>
      <c r="I22" s="48" t="s">
        <v>19</v>
      </c>
      <c r="J22" s="32">
        <v>18.940000000000001</v>
      </c>
      <c r="K22" s="49">
        <v>170.46000000000004</v>
      </c>
    </row>
    <row r="23" spans="2:11" s="46" customFormat="1" x14ac:dyDescent="0.25">
      <c r="B23" s="65" t="s">
        <v>58</v>
      </c>
      <c r="C23" s="47" t="s">
        <v>56</v>
      </c>
      <c r="D23" s="47" t="s">
        <v>65</v>
      </c>
      <c r="E23" s="47" t="s">
        <v>52</v>
      </c>
      <c r="F23" s="47" t="s">
        <v>18</v>
      </c>
      <c r="G23" s="31">
        <v>42</v>
      </c>
      <c r="H23" s="48" t="s">
        <v>53</v>
      </c>
      <c r="I23" s="48" t="s">
        <v>19</v>
      </c>
      <c r="J23" s="32">
        <v>39.69</v>
      </c>
      <c r="K23" s="49">
        <v>1666.98</v>
      </c>
    </row>
    <row r="24" spans="2:11" s="46" customFormat="1" ht="15.75" thickBot="1" x14ac:dyDescent="0.3">
      <c r="B24" s="65" t="s">
        <v>59</v>
      </c>
      <c r="C24" s="47" t="s">
        <v>60</v>
      </c>
      <c r="D24" s="47" t="s">
        <v>66</v>
      </c>
      <c r="E24" s="47" t="s">
        <v>61</v>
      </c>
      <c r="F24" s="47" t="s">
        <v>62</v>
      </c>
      <c r="G24" s="31">
        <v>33</v>
      </c>
      <c r="H24" s="48" t="s">
        <v>53</v>
      </c>
      <c r="I24" s="48" t="s">
        <v>19</v>
      </c>
      <c r="J24" s="32">
        <v>42.2</v>
      </c>
      <c r="K24" s="49">
        <v>1392.6000000000001</v>
      </c>
    </row>
    <row r="25" spans="2:11" ht="15.75" thickBot="1" x14ac:dyDescent="0.35">
      <c r="B25" s="112" t="s">
        <v>20</v>
      </c>
      <c r="C25" s="129"/>
      <c r="D25" s="129"/>
      <c r="E25" s="129"/>
      <c r="F25" s="113"/>
      <c r="G25" s="50">
        <f>SUM(G20:G24)</f>
        <v>111</v>
      </c>
      <c r="H25" s="1"/>
      <c r="I25" s="2"/>
      <c r="J25" s="3"/>
      <c r="K25" s="51">
        <f>SUM(K20:K24)</f>
        <v>4485.54</v>
      </c>
    </row>
    <row r="26" spans="2:11" x14ac:dyDescent="0.3">
      <c r="B26" s="4"/>
      <c r="C26" s="5"/>
      <c r="D26" s="5"/>
      <c r="E26" s="5"/>
      <c r="F26" s="5"/>
      <c r="G26" s="5"/>
      <c r="H26" s="5"/>
      <c r="I26" s="5"/>
      <c r="J26" s="5"/>
      <c r="K26" s="6"/>
    </row>
    <row r="27" spans="2:11" x14ac:dyDescent="0.3">
      <c r="B27" s="130" t="s">
        <v>37</v>
      </c>
      <c r="C27" s="131"/>
      <c r="D27" s="131"/>
      <c r="E27" s="131"/>
      <c r="F27" s="131"/>
      <c r="G27" s="131"/>
      <c r="H27" s="131"/>
      <c r="I27" s="131"/>
      <c r="J27" s="131"/>
      <c r="K27" s="132"/>
    </row>
    <row r="28" spans="2:11" x14ac:dyDescent="0.3">
      <c r="B28" s="4"/>
      <c r="C28" s="5"/>
      <c r="D28" s="5"/>
      <c r="F28" s="5"/>
      <c r="G28" s="5"/>
      <c r="H28" s="5"/>
      <c r="I28" s="5"/>
      <c r="J28" s="5"/>
      <c r="K28" s="6"/>
    </row>
    <row r="29" spans="2:11" x14ac:dyDescent="0.3">
      <c r="B29" s="4"/>
      <c r="C29" s="5"/>
      <c r="D29" s="5"/>
      <c r="E29" s="5"/>
      <c r="F29" s="5"/>
      <c r="G29" s="111"/>
      <c r="H29" s="111"/>
      <c r="I29" s="7"/>
      <c r="J29" s="8"/>
      <c r="K29" s="9"/>
    </row>
    <row r="30" spans="2:11" ht="14.45" customHeight="1" x14ac:dyDescent="0.3">
      <c r="B30" s="4"/>
      <c r="C30" s="5"/>
      <c r="D30" s="5"/>
      <c r="E30" s="5"/>
      <c r="F30" s="111" t="s">
        <v>21</v>
      </c>
      <c r="G30" s="111"/>
      <c r="H30" s="111"/>
      <c r="I30" s="111"/>
      <c r="J30" s="75">
        <v>174</v>
      </c>
      <c r="K30" s="9"/>
    </row>
    <row r="31" spans="2:11" ht="14.45" customHeight="1" x14ac:dyDescent="0.3">
      <c r="B31" s="10"/>
      <c r="C31" s="11"/>
      <c r="D31" s="11"/>
      <c r="E31" s="11"/>
      <c r="F31" s="111" t="s">
        <v>22</v>
      </c>
      <c r="G31" s="111"/>
      <c r="H31" s="111"/>
      <c r="I31" s="111"/>
      <c r="J31" s="76">
        <f>364/167</f>
        <v>2.1796407185628741</v>
      </c>
      <c r="K31" s="9"/>
    </row>
    <row r="32" spans="2:11" ht="14.45" customHeight="1" x14ac:dyDescent="0.3">
      <c r="B32" s="10"/>
      <c r="C32" s="11"/>
      <c r="E32" s="11"/>
      <c r="F32" s="111" t="s">
        <v>28</v>
      </c>
      <c r="G32" s="111"/>
      <c r="H32" s="111"/>
      <c r="I32" s="111"/>
      <c r="J32" s="75">
        <v>13</v>
      </c>
      <c r="K32" s="9"/>
    </row>
    <row r="33" spans="2:11" ht="14.45" customHeight="1" x14ac:dyDescent="0.3">
      <c r="B33" s="10"/>
      <c r="C33" s="11"/>
      <c r="D33" s="11"/>
      <c r="E33" s="11"/>
      <c r="F33" s="111" t="s">
        <v>23</v>
      </c>
      <c r="G33" s="111"/>
      <c r="H33" s="111"/>
      <c r="I33" s="111"/>
      <c r="J33" s="75">
        <v>2</v>
      </c>
      <c r="K33" s="9"/>
    </row>
    <row r="34" spans="2:11" x14ac:dyDescent="0.3">
      <c r="B34" s="10"/>
      <c r="C34" s="11"/>
      <c r="D34" s="11"/>
      <c r="E34" s="11"/>
      <c r="F34" s="11"/>
      <c r="G34" s="7"/>
      <c r="H34" s="7"/>
      <c r="I34" s="7"/>
      <c r="J34" s="52"/>
      <c r="K34" s="9"/>
    </row>
    <row r="35" spans="2:11" x14ac:dyDescent="0.3">
      <c r="B35" s="10"/>
      <c r="C35" s="11"/>
      <c r="D35" s="11"/>
      <c r="E35" s="11"/>
      <c r="F35" s="11"/>
      <c r="G35" s="7"/>
      <c r="H35" s="7"/>
      <c r="I35" s="7"/>
      <c r="J35" s="52"/>
      <c r="K35" s="9"/>
    </row>
    <row r="36" spans="2:11" x14ac:dyDescent="0.3">
      <c r="B36" s="10"/>
      <c r="C36" s="12"/>
      <c r="D36" s="12"/>
      <c r="E36" s="11"/>
      <c r="F36" s="11"/>
      <c r="K36" s="53"/>
    </row>
    <row r="37" spans="2:11" x14ac:dyDescent="0.3">
      <c r="B37" s="10"/>
      <c r="C37" s="11"/>
      <c r="D37" s="11"/>
      <c r="E37" s="11"/>
      <c r="F37" s="11"/>
      <c r="H37" s="11"/>
      <c r="I37" s="11"/>
      <c r="J37" s="11"/>
      <c r="K37" s="13"/>
    </row>
    <row r="38" spans="2:11" ht="15.75" thickBot="1" x14ac:dyDescent="0.35">
      <c r="B38" s="14" t="s">
        <v>38</v>
      </c>
      <c r="C38" s="15"/>
      <c r="D38" s="15"/>
      <c r="E38" s="15"/>
      <c r="F38" s="15"/>
      <c r="G38" s="16"/>
      <c r="H38" s="15"/>
      <c r="I38" s="15"/>
      <c r="J38" s="15"/>
      <c r="K38" s="17"/>
    </row>
    <row r="39" spans="2:11" x14ac:dyDescent="0.3">
      <c r="B39" s="11"/>
      <c r="C39" s="11"/>
      <c r="D39" s="11"/>
      <c r="E39" s="11"/>
      <c r="F39" s="11"/>
      <c r="G39" s="11"/>
      <c r="H39" s="11"/>
      <c r="I39" s="11"/>
      <c r="J39" s="11"/>
      <c r="K39" s="11"/>
    </row>
  </sheetData>
  <mergeCells count="32">
    <mergeCell ref="F31:I31"/>
    <mergeCell ref="F32:I32"/>
    <mergeCell ref="F33:I33"/>
    <mergeCell ref="C14:D14"/>
    <mergeCell ref="E14:K14"/>
    <mergeCell ref="C15:D15"/>
    <mergeCell ref="E15:K15"/>
    <mergeCell ref="C16:D16"/>
    <mergeCell ref="E16:K18"/>
    <mergeCell ref="B17:D17"/>
    <mergeCell ref="B18:D18"/>
    <mergeCell ref="B25:F25"/>
    <mergeCell ref="G29:H29"/>
    <mergeCell ref="B27:K27"/>
    <mergeCell ref="F30:I30"/>
    <mergeCell ref="B2:K2"/>
    <mergeCell ref="B3:D3"/>
    <mergeCell ref="E3:G3"/>
    <mergeCell ref="H3:K3"/>
    <mergeCell ref="B4:D8"/>
    <mergeCell ref="E4:G4"/>
    <mergeCell ref="H4:K4"/>
    <mergeCell ref="E6:K6"/>
    <mergeCell ref="E7:K7"/>
    <mergeCell ref="E8:K8"/>
    <mergeCell ref="E5:K5"/>
    <mergeCell ref="B9:D9"/>
    <mergeCell ref="B10:D12"/>
    <mergeCell ref="E10:K12"/>
    <mergeCell ref="C13:D13"/>
    <mergeCell ref="E13:K13"/>
    <mergeCell ref="E9:K9"/>
  </mergeCells>
  <pageMargins left="0.24" right="0.3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4686-A23A-42A4-8570-AADC59C81A4B}">
  <sheetPr codeName="Sheet3">
    <pageSetUpPr fitToPage="1"/>
  </sheetPr>
  <dimension ref="B1:J35"/>
  <sheetViews>
    <sheetView view="pageBreakPreview" zoomScaleNormal="100" zoomScaleSheetLayoutView="100" workbookViewId="0">
      <selection activeCell="B8" sqref="B8:D11"/>
    </sheetView>
  </sheetViews>
  <sheetFormatPr defaultRowHeight="15" x14ac:dyDescent="0.3"/>
  <cols>
    <col min="1" max="1" width="3.42578125" style="37" customWidth="1"/>
    <col min="2" max="2" width="26.42578125" style="37" customWidth="1"/>
    <col min="3" max="3" width="27.140625" style="37" customWidth="1"/>
    <col min="4" max="4" width="18.140625" style="37" customWidth="1"/>
    <col min="5" max="7" width="18.85546875" style="38" customWidth="1"/>
    <col min="8" max="9" width="11.85546875" style="37" customWidth="1"/>
    <col min="10" max="10" width="11.5703125" style="37" customWidth="1"/>
    <col min="11" max="11" width="2" style="37" customWidth="1"/>
    <col min="12" max="240" width="8.85546875" style="37"/>
    <col min="241" max="241" width="13.42578125" style="37" customWidth="1"/>
    <col min="242" max="242" width="15.5703125" style="37" customWidth="1"/>
    <col min="243" max="243" width="14.85546875" style="37" customWidth="1"/>
    <col min="244" max="244" width="13.42578125" style="37" customWidth="1"/>
    <col min="245" max="245" width="8.85546875" style="37"/>
    <col min="246" max="246" width="9.140625" style="37" customWidth="1"/>
    <col min="247" max="247" width="5.42578125" style="37" customWidth="1"/>
    <col min="248" max="248" width="15.85546875" style="37" bestFit="1" customWidth="1"/>
    <col min="249" max="249" width="15.85546875" style="37" customWidth="1"/>
    <col min="250" max="496" width="8.85546875" style="37"/>
    <col min="497" max="497" width="13.42578125" style="37" customWidth="1"/>
    <col min="498" max="498" width="15.5703125" style="37" customWidth="1"/>
    <col min="499" max="499" width="14.85546875" style="37" customWidth="1"/>
    <col min="500" max="500" width="13.42578125" style="37" customWidth="1"/>
    <col min="501" max="501" width="8.85546875" style="37"/>
    <col min="502" max="502" width="9.140625" style="37" customWidth="1"/>
    <col min="503" max="503" width="5.42578125" style="37" customWidth="1"/>
    <col min="504" max="504" width="15.85546875" style="37" bestFit="1" customWidth="1"/>
    <col min="505" max="505" width="15.85546875" style="37" customWidth="1"/>
    <col min="506" max="752" width="8.85546875" style="37"/>
    <col min="753" max="753" width="13.42578125" style="37" customWidth="1"/>
    <col min="754" max="754" width="15.5703125" style="37" customWidth="1"/>
    <col min="755" max="755" width="14.85546875" style="37" customWidth="1"/>
    <col min="756" max="756" width="13.42578125" style="37" customWidth="1"/>
    <col min="757" max="757" width="8.85546875" style="37"/>
    <col min="758" max="758" width="9.140625" style="37" customWidth="1"/>
    <col min="759" max="759" width="5.42578125" style="37" customWidth="1"/>
    <col min="760" max="760" width="15.85546875" style="37" bestFit="1" customWidth="1"/>
    <col min="761" max="761" width="15.85546875" style="37" customWidth="1"/>
    <col min="762" max="1008" width="8.85546875" style="37"/>
    <col min="1009" max="1009" width="13.42578125" style="37" customWidth="1"/>
    <col min="1010" max="1010" width="15.5703125" style="37" customWidth="1"/>
    <col min="1011" max="1011" width="14.85546875" style="37" customWidth="1"/>
    <col min="1012" max="1012" width="13.42578125" style="37" customWidth="1"/>
    <col min="1013" max="1013" width="8.85546875" style="37"/>
    <col min="1014" max="1014" width="9.140625" style="37" customWidth="1"/>
    <col min="1015" max="1015" width="5.42578125" style="37" customWidth="1"/>
    <col min="1016" max="1016" width="15.85546875" style="37" bestFit="1" customWidth="1"/>
    <col min="1017" max="1017" width="15.85546875" style="37" customWidth="1"/>
    <col min="1018" max="1264" width="8.85546875" style="37"/>
    <col min="1265" max="1265" width="13.42578125" style="37" customWidth="1"/>
    <col min="1266" max="1266" width="15.5703125" style="37" customWidth="1"/>
    <col min="1267" max="1267" width="14.85546875" style="37" customWidth="1"/>
    <col min="1268" max="1268" width="13.42578125" style="37" customWidth="1"/>
    <col min="1269" max="1269" width="8.85546875" style="37"/>
    <col min="1270" max="1270" width="9.140625" style="37" customWidth="1"/>
    <col min="1271" max="1271" width="5.42578125" style="37" customWidth="1"/>
    <col min="1272" max="1272" width="15.85546875" style="37" bestFit="1" customWidth="1"/>
    <col min="1273" max="1273" width="15.85546875" style="37" customWidth="1"/>
    <col min="1274" max="1520" width="8.85546875" style="37"/>
    <col min="1521" max="1521" width="13.42578125" style="37" customWidth="1"/>
    <col min="1522" max="1522" width="15.5703125" style="37" customWidth="1"/>
    <col min="1523" max="1523" width="14.85546875" style="37" customWidth="1"/>
    <col min="1524" max="1524" width="13.42578125" style="37" customWidth="1"/>
    <col min="1525" max="1525" width="8.85546875" style="37"/>
    <col min="1526" max="1526" width="9.140625" style="37" customWidth="1"/>
    <col min="1527" max="1527" width="5.42578125" style="37" customWidth="1"/>
    <col min="1528" max="1528" width="15.85546875" style="37" bestFit="1" customWidth="1"/>
    <col min="1529" max="1529" width="15.85546875" style="37" customWidth="1"/>
    <col min="1530" max="1776" width="8.85546875" style="37"/>
    <col min="1777" max="1777" width="13.42578125" style="37" customWidth="1"/>
    <col min="1778" max="1778" width="15.5703125" style="37" customWidth="1"/>
    <col min="1779" max="1779" width="14.85546875" style="37" customWidth="1"/>
    <col min="1780" max="1780" width="13.42578125" style="37" customWidth="1"/>
    <col min="1781" max="1781" width="8.85546875" style="37"/>
    <col min="1782" max="1782" width="9.140625" style="37" customWidth="1"/>
    <col min="1783" max="1783" width="5.42578125" style="37" customWidth="1"/>
    <col min="1784" max="1784" width="15.85546875" style="37" bestFit="1" customWidth="1"/>
    <col min="1785" max="1785" width="15.85546875" style="37" customWidth="1"/>
    <col min="1786" max="2032" width="8.85546875" style="37"/>
    <col min="2033" max="2033" width="13.42578125" style="37" customWidth="1"/>
    <col min="2034" max="2034" width="15.5703125" style="37" customWidth="1"/>
    <col min="2035" max="2035" width="14.85546875" style="37" customWidth="1"/>
    <col min="2036" max="2036" width="13.42578125" style="37" customWidth="1"/>
    <col min="2037" max="2037" width="8.85546875" style="37"/>
    <col min="2038" max="2038" width="9.140625" style="37" customWidth="1"/>
    <col min="2039" max="2039" width="5.42578125" style="37" customWidth="1"/>
    <col min="2040" max="2040" width="15.85546875" style="37" bestFit="1" customWidth="1"/>
    <col min="2041" max="2041" width="15.85546875" style="37" customWidth="1"/>
    <col min="2042" max="2288" width="8.85546875" style="37"/>
    <col min="2289" max="2289" width="13.42578125" style="37" customWidth="1"/>
    <col min="2290" max="2290" width="15.5703125" style="37" customWidth="1"/>
    <col min="2291" max="2291" width="14.85546875" style="37" customWidth="1"/>
    <col min="2292" max="2292" width="13.42578125" style="37" customWidth="1"/>
    <col min="2293" max="2293" width="8.85546875" style="37"/>
    <col min="2294" max="2294" width="9.140625" style="37" customWidth="1"/>
    <col min="2295" max="2295" width="5.42578125" style="37" customWidth="1"/>
    <col min="2296" max="2296" width="15.85546875" style="37" bestFit="1" customWidth="1"/>
    <col min="2297" max="2297" width="15.85546875" style="37" customWidth="1"/>
    <col min="2298" max="2544" width="8.85546875" style="37"/>
    <col min="2545" max="2545" width="13.42578125" style="37" customWidth="1"/>
    <col min="2546" max="2546" width="15.5703125" style="37" customWidth="1"/>
    <col min="2547" max="2547" width="14.85546875" style="37" customWidth="1"/>
    <col min="2548" max="2548" width="13.42578125" style="37" customWidth="1"/>
    <col min="2549" max="2549" width="8.85546875" style="37"/>
    <col min="2550" max="2550" width="9.140625" style="37" customWidth="1"/>
    <col min="2551" max="2551" width="5.42578125" style="37" customWidth="1"/>
    <col min="2552" max="2552" width="15.85546875" style="37" bestFit="1" customWidth="1"/>
    <col min="2553" max="2553" width="15.85546875" style="37" customWidth="1"/>
    <col min="2554" max="2800" width="8.85546875" style="37"/>
    <col min="2801" max="2801" width="13.42578125" style="37" customWidth="1"/>
    <col min="2802" max="2802" width="15.5703125" style="37" customWidth="1"/>
    <col min="2803" max="2803" width="14.85546875" style="37" customWidth="1"/>
    <col min="2804" max="2804" width="13.42578125" style="37" customWidth="1"/>
    <col min="2805" max="2805" width="8.85546875" style="37"/>
    <col min="2806" max="2806" width="9.140625" style="37" customWidth="1"/>
    <col min="2807" max="2807" width="5.42578125" style="37" customWidth="1"/>
    <col min="2808" max="2808" width="15.85546875" style="37" bestFit="1" customWidth="1"/>
    <col min="2809" max="2809" width="15.85546875" style="37" customWidth="1"/>
    <col min="2810" max="3056" width="8.85546875" style="37"/>
    <col min="3057" max="3057" width="13.42578125" style="37" customWidth="1"/>
    <col min="3058" max="3058" width="15.5703125" style="37" customWidth="1"/>
    <col min="3059" max="3059" width="14.85546875" style="37" customWidth="1"/>
    <col min="3060" max="3060" width="13.42578125" style="37" customWidth="1"/>
    <col min="3061" max="3061" width="8.85546875" style="37"/>
    <col min="3062" max="3062" width="9.140625" style="37" customWidth="1"/>
    <col min="3063" max="3063" width="5.42578125" style="37" customWidth="1"/>
    <col min="3064" max="3064" width="15.85546875" style="37" bestFit="1" customWidth="1"/>
    <col min="3065" max="3065" width="15.85546875" style="37" customWidth="1"/>
    <col min="3066" max="3312" width="8.85546875" style="37"/>
    <col min="3313" max="3313" width="13.42578125" style="37" customWidth="1"/>
    <col min="3314" max="3314" width="15.5703125" style="37" customWidth="1"/>
    <col min="3315" max="3315" width="14.85546875" style="37" customWidth="1"/>
    <col min="3316" max="3316" width="13.42578125" style="37" customWidth="1"/>
    <col min="3317" max="3317" width="8.85546875" style="37"/>
    <col min="3318" max="3318" width="9.140625" style="37" customWidth="1"/>
    <col min="3319" max="3319" width="5.42578125" style="37" customWidth="1"/>
    <col min="3320" max="3320" width="15.85546875" style="37" bestFit="1" customWidth="1"/>
    <col min="3321" max="3321" width="15.85546875" style="37" customWidth="1"/>
    <col min="3322" max="3568" width="8.85546875" style="37"/>
    <col min="3569" max="3569" width="13.42578125" style="37" customWidth="1"/>
    <col min="3570" max="3570" width="15.5703125" style="37" customWidth="1"/>
    <col min="3571" max="3571" width="14.85546875" style="37" customWidth="1"/>
    <col min="3572" max="3572" width="13.42578125" style="37" customWidth="1"/>
    <col min="3573" max="3573" width="8.85546875" style="37"/>
    <col min="3574" max="3574" width="9.140625" style="37" customWidth="1"/>
    <col min="3575" max="3575" width="5.42578125" style="37" customWidth="1"/>
    <col min="3576" max="3576" width="15.85546875" style="37" bestFit="1" customWidth="1"/>
    <col min="3577" max="3577" width="15.85546875" style="37" customWidth="1"/>
    <col min="3578" max="3824" width="8.85546875" style="37"/>
    <col min="3825" max="3825" width="13.42578125" style="37" customWidth="1"/>
    <col min="3826" max="3826" width="15.5703125" style="37" customWidth="1"/>
    <col min="3827" max="3827" width="14.85546875" style="37" customWidth="1"/>
    <col min="3828" max="3828" width="13.42578125" style="37" customWidth="1"/>
    <col min="3829" max="3829" width="8.85546875" style="37"/>
    <col min="3830" max="3830" width="9.140625" style="37" customWidth="1"/>
    <col min="3831" max="3831" width="5.42578125" style="37" customWidth="1"/>
    <col min="3832" max="3832" width="15.85546875" style="37" bestFit="1" customWidth="1"/>
    <col min="3833" max="3833" width="15.85546875" style="37" customWidth="1"/>
    <col min="3834" max="4080" width="8.85546875" style="37"/>
    <col min="4081" max="4081" width="13.42578125" style="37" customWidth="1"/>
    <col min="4082" max="4082" width="15.5703125" style="37" customWidth="1"/>
    <col min="4083" max="4083" width="14.85546875" style="37" customWidth="1"/>
    <col min="4084" max="4084" width="13.42578125" style="37" customWidth="1"/>
    <col min="4085" max="4085" width="8.85546875" style="37"/>
    <col min="4086" max="4086" width="9.140625" style="37" customWidth="1"/>
    <col min="4087" max="4087" width="5.42578125" style="37" customWidth="1"/>
    <col min="4088" max="4088" width="15.85546875" style="37" bestFit="1" customWidth="1"/>
    <col min="4089" max="4089" width="15.85546875" style="37" customWidth="1"/>
    <col min="4090" max="4336" width="8.85546875" style="37"/>
    <col min="4337" max="4337" width="13.42578125" style="37" customWidth="1"/>
    <col min="4338" max="4338" width="15.5703125" style="37" customWidth="1"/>
    <col min="4339" max="4339" width="14.85546875" style="37" customWidth="1"/>
    <col min="4340" max="4340" width="13.42578125" style="37" customWidth="1"/>
    <col min="4341" max="4341" width="8.85546875" style="37"/>
    <col min="4342" max="4342" width="9.140625" style="37" customWidth="1"/>
    <col min="4343" max="4343" width="5.42578125" style="37" customWidth="1"/>
    <col min="4344" max="4344" width="15.85546875" style="37" bestFit="1" customWidth="1"/>
    <col min="4345" max="4345" width="15.85546875" style="37" customWidth="1"/>
    <col min="4346" max="4592" width="8.85546875" style="37"/>
    <col min="4593" max="4593" width="13.42578125" style="37" customWidth="1"/>
    <col min="4594" max="4594" width="15.5703125" style="37" customWidth="1"/>
    <col min="4595" max="4595" width="14.85546875" style="37" customWidth="1"/>
    <col min="4596" max="4596" width="13.42578125" style="37" customWidth="1"/>
    <col min="4597" max="4597" width="8.85546875" style="37"/>
    <col min="4598" max="4598" width="9.140625" style="37" customWidth="1"/>
    <col min="4599" max="4599" width="5.42578125" style="37" customWidth="1"/>
    <col min="4600" max="4600" width="15.85546875" style="37" bestFit="1" customWidth="1"/>
    <col min="4601" max="4601" width="15.85546875" style="37" customWidth="1"/>
    <col min="4602" max="4848" width="8.85546875" style="37"/>
    <col min="4849" max="4849" width="13.42578125" style="37" customWidth="1"/>
    <col min="4850" max="4850" width="15.5703125" style="37" customWidth="1"/>
    <col min="4851" max="4851" width="14.85546875" style="37" customWidth="1"/>
    <col min="4852" max="4852" width="13.42578125" style="37" customWidth="1"/>
    <col min="4853" max="4853" width="8.85546875" style="37"/>
    <col min="4854" max="4854" width="9.140625" style="37" customWidth="1"/>
    <col min="4855" max="4855" width="5.42578125" style="37" customWidth="1"/>
    <col min="4856" max="4856" width="15.85546875" style="37" bestFit="1" customWidth="1"/>
    <col min="4857" max="4857" width="15.85546875" style="37" customWidth="1"/>
    <col min="4858" max="5104" width="8.85546875" style="37"/>
    <col min="5105" max="5105" width="13.42578125" style="37" customWidth="1"/>
    <col min="5106" max="5106" width="15.5703125" style="37" customWidth="1"/>
    <col min="5107" max="5107" width="14.85546875" style="37" customWidth="1"/>
    <col min="5108" max="5108" width="13.42578125" style="37" customWidth="1"/>
    <col min="5109" max="5109" width="8.85546875" style="37"/>
    <col min="5110" max="5110" width="9.140625" style="37" customWidth="1"/>
    <col min="5111" max="5111" width="5.42578125" style="37" customWidth="1"/>
    <col min="5112" max="5112" width="15.85546875" style="37" bestFit="1" customWidth="1"/>
    <col min="5113" max="5113" width="15.85546875" style="37" customWidth="1"/>
    <col min="5114" max="5360" width="8.85546875" style="37"/>
    <col min="5361" max="5361" width="13.42578125" style="37" customWidth="1"/>
    <col min="5362" max="5362" width="15.5703125" style="37" customWidth="1"/>
    <col min="5363" max="5363" width="14.85546875" style="37" customWidth="1"/>
    <col min="5364" max="5364" width="13.42578125" style="37" customWidth="1"/>
    <col min="5365" max="5365" width="8.85546875" style="37"/>
    <col min="5366" max="5366" width="9.140625" style="37" customWidth="1"/>
    <col min="5367" max="5367" width="5.42578125" style="37" customWidth="1"/>
    <col min="5368" max="5368" width="15.85546875" style="37" bestFit="1" customWidth="1"/>
    <col min="5369" max="5369" width="15.85546875" style="37" customWidth="1"/>
    <col min="5370" max="5616" width="8.85546875" style="37"/>
    <col min="5617" max="5617" width="13.42578125" style="37" customWidth="1"/>
    <col min="5618" max="5618" width="15.5703125" style="37" customWidth="1"/>
    <col min="5619" max="5619" width="14.85546875" style="37" customWidth="1"/>
    <col min="5620" max="5620" width="13.42578125" style="37" customWidth="1"/>
    <col min="5621" max="5621" width="8.85546875" style="37"/>
    <col min="5622" max="5622" width="9.140625" style="37" customWidth="1"/>
    <col min="5623" max="5623" width="5.42578125" style="37" customWidth="1"/>
    <col min="5624" max="5624" width="15.85546875" style="37" bestFit="1" customWidth="1"/>
    <col min="5625" max="5625" width="15.85546875" style="37" customWidth="1"/>
    <col min="5626" max="5872" width="8.85546875" style="37"/>
    <col min="5873" max="5873" width="13.42578125" style="37" customWidth="1"/>
    <col min="5874" max="5874" width="15.5703125" style="37" customWidth="1"/>
    <col min="5875" max="5875" width="14.85546875" style="37" customWidth="1"/>
    <col min="5876" max="5876" width="13.42578125" style="37" customWidth="1"/>
    <col min="5877" max="5877" width="8.85546875" style="37"/>
    <col min="5878" max="5878" width="9.140625" style="37" customWidth="1"/>
    <col min="5879" max="5879" width="5.42578125" style="37" customWidth="1"/>
    <col min="5880" max="5880" width="15.85546875" style="37" bestFit="1" customWidth="1"/>
    <col min="5881" max="5881" width="15.85546875" style="37" customWidth="1"/>
    <col min="5882" max="6128" width="8.85546875" style="37"/>
    <col min="6129" max="6129" width="13.42578125" style="37" customWidth="1"/>
    <col min="6130" max="6130" width="15.5703125" style="37" customWidth="1"/>
    <col min="6131" max="6131" width="14.85546875" style="37" customWidth="1"/>
    <col min="6132" max="6132" width="13.42578125" style="37" customWidth="1"/>
    <col min="6133" max="6133" width="8.85546875" style="37"/>
    <col min="6134" max="6134" width="9.140625" style="37" customWidth="1"/>
    <col min="6135" max="6135" width="5.42578125" style="37" customWidth="1"/>
    <col min="6136" max="6136" width="15.85546875" style="37" bestFit="1" customWidth="1"/>
    <col min="6137" max="6137" width="15.85546875" style="37" customWidth="1"/>
    <col min="6138" max="6384" width="8.85546875" style="37"/>
    <col min="6385" max="6385" width="13.42578125" style="37" customWidth="1"/>
    <col min="6386" max="6386" width="15.5703125" style="37" customWidth="1"/>
    <col min="6387" max="6387" width="14.85546875" style="37" customWidth="1"/>
    <col min="6388" max="6388" width="13.42578125" style="37" customWidth="1"/>
    <col min="6389" max="6389" width="8.85546875" style="37"/>
    <col min="6390" max="6390" width="9.140625" style="37" customWidth="1"/>
    <col min="6391" max="6391" width="5.42578125" style="37" customWidth="1"/>
    <col min="6392" max="6392" width="15.85546875" style="37" bestFit="1" customWidth="1"/>
    <col min="6393" max="6393" width="15.85546875" style="37" customWidth="1"/>
    <col min="6394" max="6640" width="8.85546875" style="37"/>
    <col min="6641" max="6641" width="13.42578125" style="37" customWidth="1"/>
    <col min="6642" max="6642" width="15.5703125" style="37" customWidth="1"/>
    <col min="6643" max="6643" width="14.85546875" style="37" customWidth="1"/>
    <col min="6644" max="6644" width="13.42578125" style="37" customWidth="1"/>
    <col min="6645" max="6645" width="8.85546875" style="37"/>
    <col min="6646" max="6646" width="9.140625" style="37" customWidth="1"/>
    <col min="6647" max="6647" width="5.42578125" style="37" customWidth="1"/>
    <col min="6648" max="6648" width="15.85546875" style="37" bestFit="1" customWidth="1"/>
    <col min="6649" max="6649" width="15.85546875" style="37" customWidth="1"/>
    <col min="6650" max="6896" width="8.85546875" style="37"/>
    <col min="6897" max="6897" width="13.42578125" style="37" customWidth="1"/>
    <col min="6898" max="6898" width="15.5703125" style="37" customWidth="1"/>
    <col min="6899" max="6899" width="14.85546875" style="37" customWidth="1"/>
    <col min="6900" max="6900" width="13.42578125" style="37" customWidth="1"/>
    <col min="6901" max="6901" width="8.85546875" style="37"/>
    <col min="6902" max="6902" width="9.140625" style="37" customWidth="1"/>
    <col min="6903" max="6903" width="5.42578125" style="37" customWidth="1"/>
    <col min="6904" max="6904" width="15.85546875" style="37" bestFit="1" customWidth="1"/>
    <col min="6905" max="6905" width="15.85546875" style="37" customWidth="1"/>
    <col min="6906" max="7152" width="8.85546875" style="37"/>
    <col min="7153" max="7153" width="13.42578125" style="37" customWidth="1"/>
    <col min="7154" max="7154" width="15.5703125" style="37" customWidth="1"/>
    <col min="7155" max="7155" width="14.85546875" style="37" customWidth="1"/>
    <col min="7156" max="7156" width="13.42578125" style="37" customWidth="1"/>
    <col min="7157" max="7157" width="8.85546875" style="37"/>
    <col min="7158" max="7158" width="9.140625" style="37" customWidth="1"/>
    <col min="7159" max="7159" width="5.42578125" style="37" customWidth="1"/>
    <col min="7160" max="7160" width="15.85546875" style="37" bestFit="1" customWidth="1"/>
    <col min="7161" max="7161" width="15.85546875" style="37" customWidth="1"/>
    <col min="7162" max="7408" width="8.85546875" style="37"/>
    <col min="7409" max="7409" width="13.42578125" style="37" customWidth="1"/>
    <col min="7410" max="7410" width="15.5703125" style="37" customWidth="1"/>
    <col min="7411" max="7411" width="14.85546875" style="37" customWidth="1"/>
    <col min="7412" max="7412" width="13.42578125" style="37" customWidth="1"/>
    <col min="7413" max="7413" width="8.85546875" style="37"/>
    <col min="7414" max="7414" width="9.140625" style="37" customWidth="1"/>
    <col min="7415" max="7415" width="5.42578125" style="37" customWidth="1"/>
    <col min="7416" max="7416" width="15.85546875" style="37" bestFit="1" customWidth="1"/>
    <col min="7417" max="7417" width="15.85546875" style="37" customWidth="1"/>
    <col min="7418" max="7664" width="8.85546875" style="37"/>
    <col min="7665" max="7665" width="13.42578125" style="37" customWidth="1"/>
    <col min="7666" max="7666" width="15.5703125" style="37" customWidth="1"/>
    <col min="7667" max="7667" width="14.85546875" style="37" customWidth="1"/>
    <col min="7668" max="7668" width="13.42578125" style="37" customWidth="1"/>
    <col min="7669" max="7669" width="8.85546875" style="37"/>
    <col min="7670" max="7670" width="9.140625" style="37" customWidth="1"/>
    <col min="7671" max="7671" width="5.42578125" style="37" customWidth="1"/>
    <col min="7672" max="7672" width="15.85546875" style="37" bestFit="1" customWidth="1"/>
    <col min="7673" max="7673" width="15.85546875" style="37" customWidth="1"/>
    <col min="7674" max="7920" width="8.85546875" style="37"/>
    <col min="7921" max="7921" width="13.42578125" style="37" customWidth="1"/>
    <col min="7922" max="7922" width="15.5703125" style="37" customWidth="1"/>
    <col min="7923" max="7923" width="14.85546875" style="37" customWidth="1"/>
    <col min="7924" max="7924" width="13.42578125" style="37" customWidth="1"/>
    <col min="7925" max="7925" width="8.85546875" style="37"/>
    <col min="7926" max="7926" width="9.140625" style="37" customWidth="1"/>
    <col min="7927" max="7927" width="5.42578125" style="37" customWidth="1"/>
    <col min="7928" max="7928" width="15.85546875" style="37" bestFit="1" customWidth="1"/>
    <col min="7929" max="7929" width="15.85546875" style="37" customWidth="1"/>
    <col min="7930" max="8176" width="8.85546875" style="37"/>
    <col min="8177" max="8177" width="13.42578125" style="37" customWidth="1"/>
    <col min="8178" max="8178" width="15.5703125" style="37" customWidth="1"/>
    <col min="8179" max="8179" width="14.85546875" style="37" customWidth="1"/>
    <col min="8180" max="8180" width="13.42578125" style="37" customWidth="1"/>
    <col min="8181" max="8181" width="8.85546875" style="37"/>
    <col min="8182" max="8182" width="9.140625" style="37" customWidth="1"/>
    <col min="8183" max="8183" width="5.42578125" style="37" customWidth="1"/>
    <col min="8184" max="8184" width="15.85546875" style="37" bestFit="1" customWidth="1"/>
    <col min="8185" max="8185" width="15.85546875" style="37" customWidth="1"/>
    <col min="8186" max="8432" width="8.85546875" style="37"/>
    <col min="8433" max="8433" width="13.42578125" style="37" customWidth="1"/>
    <col min="8434" max="8434" width="15.5703125" style="37" customWidth="1"/>
    <col min="8435" max="8435" width="14.85546875" style="37" customWidth="1"/>
    <col min="8436" max="8436" width="13.42578125" style="37" customWidth="1"/>
    <col min="8437" max="8437" width="8.85546875" style="37"/>
    <col min="8438" max="8438" width="9.140625" style="37" customWidth="1"/>
    <col min="8439" max="8439" width="5.42578125" style="37" customWidth="1"/>
    <col min="8440" max="8440" width="15.85546875" style="37" bestFit="1" customWidth="1"/>
    <col min="8441" max="8441" width="15.85546875" style="37" customWidth="1"/>
    <col min="8442" max="8688" width="8.85546875" style="37"/>
    <col min="8689" max="8689" width="13.42578125" style="37" customWidth="1"/>
    <col min="8690" max="8690" width="15.5703125" style="37" customWidth="1"/>
    <col min="8691" max="8691" width="14.85546875" style="37" customWidth="1"/>
    <col min="8692" max="8692" width="13.42578125" style="37" customWidth="1"/>
    <col min="8693" max="8693" width="8.85546875" style="37"/>
    <col min="8694" max="8694" width="9.140625" style="37" customWidth="1"/>
    <col min="8695" max="8695" width="5.42578125" style="37" customWidth="1"/>
    <col min="8696" max="8696" width="15.85546875" style="37" bestFit="1" customWidth="1"/>
    <col min="8697" max="8697" width="15.85546875" style="37" customWidth="1"/>
    <col min="8698" max="8944" width="8.85546875" style="37"/>
    <col min="8945" max="8945" width="13.42578125" style="37" customWidth="1"/>
    <col min="8946" max="8946" width="15.5703125" style="37" customWidth="1"/>
    <col min="8947" max="8947" width="14.85546875" style="37" customWidth="1"/>
    <col min="8948" max="8948" width="13.42578125" style="37" customWidth="1"/>
    <col min="8949" max="8949" width="8.85546875" style="37"/>
    <col min="8950" max="8950" width="9.140625" style="37" customWidth="1"/>
    <col min="8951" max="8951" width="5.42578125" style="37" customWidth="1"/>
    <col min="8952" max="8952" width="15.85546875" style="37" bestFit="1" customWidth="1"/>
    <col min="8953" max="8953" width="15.85546875" style="37" customWidth="1"/>
    <col min="8954" max="9200" width="8.85546875" style="37"/>
    <col min="9201" max="9201" width="13.42578125" style="37" customWidth="1"/>
    <col min="9202" max="9202" width="15.5703125" style="37" customWidth="1"/>
    <col min="9203" max="9203" width="14.85546875" style="37" customWidth="1"/>
    <col min="9204" max="9204" width="13.42578125" style="37" customWidth="1"/>
    <col min="9205" max="9205" width="8.85546875" style="37"/>
    <col min="9206" max="9206" width="9.140625" style="37" customWidth="1"/>
    <col min="9207" max="9207" width="5.42578125" style="37" customWidth="1"/>
    <col min="9208" max="9208" width="15.85546875" style="37" bestFit="1" customWidth="1"/>
    <col min="9209" max="9209" width="15.85546875" style="37" customWidth="1"/>
    <col min="9210" max="9456" width="8.85546875" style="37"/>
    <col min="9457" max="9457" width="13.42578125" style="37" customWidth="1"/>
    <col min="9458" max="9458" width="15.5703125" style="37" customWidth="1"/>
    <col min="9459" max="9459" width="14.85546875" style="37" customWidth="1"/>
    <col min="9460" max="9460" width="13.42578125" style="37" customWidth="1"/>
    <col min="9461" max="9461" width="8.85546875" style="37"/>
    <col min="9462" max="9462" width="9.140625" style="37" customWidth="1"/>
    <col min="9463" max="9463" width="5.42578125" style="37" customWidth="1"/>
    <col min="9464" max="9464" width="15.85546875" style="37" bestFit="1" customWidth="1"/>
    <col min="9465" max="9465" width="15.85546875" style="37" customWidth="1"/>
    <col min="9466" max="9712" width="8.85546875" style="37"/>
    <col min="9713" max="9713" width="13.42578125" style="37" customWidth="1"/>
    <col min="9714" max="9714" width="15.5703125" style="37" customWidth="1"/>
    <col min="9715" max="9715" width="14.85546875" style="37" customWidth="1"/>
    <col min="9716" max="9716" width="13.42578125" style="37" customWidth="1"/>
    <col min="9717" max="9717" width="8.85546875" style="37"/>
    <col min="9718" max="9718" width="9.140625" style="37" customWidth="1"/>
    <col min="9719" max="9719" width="5.42578125" style="37" customWidth="1"/>
    <col min="9720" max="9720" width="15.85546875" style="37" bestFit="1" customWidth="1"/>
    <col min="9721" max="9721" width="15.85546875" style="37" customWidth="1"/>
    <col min="9722" max="9968" width="8.85546875" style="37"/>
    <col min="9969" max="9969" width="13.42578125" style="37" customWidth="1"/>
    <col min="9970" max="9970" width="15.5703125" style="37" customWidth="1"/>
    <col min="9971" max="9971" width="14.85546875" style="37" customWidth="1"/>
    <col min="9972" max="9972" width="13.42578125" style="37" customWidth="1"/>
    <col min="9973" max="9973" width="8.85546875" style="37"/>
    <col min="9974" max="9974" width="9.140625" style="37" customWidth="1"/>
    <col min="9975" max="9975" width="5.42578125" style="37" customWidth="1"/>
    <col min="9976" max="9976" width="15.85546875" style="37" bestFit="1" customWidth="1"/>
    <col min="9977" max="9977" width="15.85546875" style="37" customWidth="1"/>
    <col min="9978" max="10224" width="8.85546875" style="37"/>
    <col min="10225" max="10225" width="13.42578125" style="37" customWidth="1"/>
    <col min="10226" max="10226" width="15.5703125" style="37" customWidth="1"/>
    <col min="10227" max="10227" width="14.85546875" style="37" customWidth="1"/>
    <col min="10228" max="10228" width="13.42578125" style="37" customWidth="1"/>
    <col min="10229" max="10229" width="8.85546875" style="37"/>
    <col min="10230" max="10230" width="9.140625" style="37" customWidth="1"/>
    <col min="10231" max="10231" width="5.42578125" style="37" customWidth="1"/>
    <col min="10232" max="10232" width="15.85546875" style="37" bestFit="1" customWidth="1"/>
    <col min="10233" max="10233" width="15.85546875" style="37" customWidth="1"/>
    <col min="10234" max="10480" width="8.85546875" style="37"/>
    <col min="10481" max="10481" width="13.42578125" style="37" customWidth="1"/>
    <col min="10482" max="10482" width="15.5703125" style="37" customWidth="1"/>
    <col min="10483" max="10483" width="14.85546875" style="37" customWidth="1"/>
    <col min="10484" max="10484" width="13.42578125" style="37" customWidth="1"/>
    <col min="10485" max="10485" width="8.85546875" style="37"/>
    <col min="10486" max="10486" width="9.140625" style="37" customWidth="1"/>
    <col min="10487" max="10487" width="5.42578125" style="37" customWidth="1"/>
    <col min="10488" max="10488" width="15.85546875" style="37" bestFit="1" customWidth="1"/>
    <col min="10489" max="10489" width="15.85546875" style="37" customWidth="1"/>
    <col min="10490" max="10736" width="8.85546875" style="37"/>
    <col min="10737" max="10737" width="13.42578125" style="37" customWidth="1"/>
    <col min="10738" max="10738" width="15.5703125" style="37" customWidth="1"/>
    <col min="10739" max="10739" width="14.85546875" style="37" customWidth="1"/>
    <col min="10740" max="10740" width="13.42578125" style="37" customWidth="1"/>
    <col min="10741" max="10741" width="8.85546875" style="37"/>
    <col min="10742" max="10742" width="9.140625" style="37" customWidth="1"/>
    <col min="10743" max="10743" width="5.42578125" style="37" customWidth="1"/>
    <col min="10744" max="10744" width="15.85546875" style="37" bestFit="1" customWidth="1"/>
    <col min="10745" max="10745" width="15.85546875" style="37" customWidth="1"/>
    <col min="10746" max="10992" width="8.85546875" style="37"/>
    <col min="10993" max="10993" width="13.42578125" style="37" customWidth="1"/>
    <col min="10994" max="10994" width="15.5703125" style="37" customWidth="1"/>
    <col min="10995" max="10995" width="14.85546875" style="37" customWidth="1"/>
    <col min="10996" max="10996" width="13.42578125" style="37" customWidth="1"/>
    <col min="10997" max="10997" width="8.85546875" style="37"/>
    <col min="10998" max="10998" width="9.140625" style="37" customWidth="1"/>
    <col min="10999" max="10999" width="5.42578125" style="37" customWidth="1"/>
    <col min="11000" max="11000" width="15.85546875" style="37" bestFit="1" customWidth="1"/>
    <col min="11001" max="11001" width="15.85546875" style="37" customWidth="1"/>
    <col min="11002" max="11248" width="8.85546875" style="37"/>
    <col min="11249" max="11249" width="13.42578125" style="37" customWidth="1"/>
    <col min="11250" max="11250" width="15.5703125" style="37" customWidth="1"/>
    <col min="11251" max="11251" width="14.85546875" style="37" customWidth="1"/>
    <col min="11252" max="11252" width="13.42578125" style="37" customWidth="1"/>
    <col min="11253" max="11253" width="8.85546875" style="37"/>
    <col min="11254" max="11254" width="9.140625" style="37" customWidth="1"/>
    <col min="11255" max="11255" width="5.42578125" style="37" customWidth="1"/>
    <col min="11256" max="11256" width="15.85546875" style="37" bestFit="1" customWidth="1"/>
    <col min="11257" max="11257" width="15.85546875" style="37" customWidth="1"/>
    <col min="11258" max="11504" width="8.85546875" style="37"/>
    <col min="11505" max="11505" width="13.42578125" style="37" customWidth="1"/>
    <col min="11506" max="11506" width="15.5703125" style="37" customWidth="1"/>
    <col min="11507" max="11507" width="14.85546875" style="37" customWidth="1"/>
    <col min="11508" max="11508" width="13.42578125" style="37" customWidth="1"/>
    <col min="11509" max="11509" width="8.85546875" style="37"/>
    <col min="11510" max="11510" width="9.140625" style="37" customWidth="1"/>
    <col min="11511" max="11511" width="5.42578125" style="37" customWidth="1"/>
    <col min="11512" max="11512" width="15.85546875" style="37" bestFit="1" customWidth="1"/>
    <col min="11513" max="11513" width="15.85546875" style="37" customWidth="1"/>
    <col min="11514" max="11760" width="8.85546875" style="37"/>
    <col min="11761" max="11761" width="13.42578125" style="37" customWidth="1"/>
    <col min="11762" max="11762" width="15.5703125" style="37" customWidth="1"/>
    <col min="11763" max="11763" width="14.85546875" style="37" customWidth="1"/>
    <col min="11764" max="11764" width="13.42578125" style="37" customWidth="1"/>
    <col min="11765" max="11765" width="8.85546875" style="37"/>
    <col min="11766" max="11766" width="9.140625" style="37" customWidth="1"/>
    <col min="11767" max="11767" width="5.42578125" style="37" customWidth="1"/>
    <col min="11768" max="11768" width="15.85546875" style="37" bestFit="1" customWidth="1"/>
    <col min="11769" max="11769" width="15.85546875" style="37" customWidth="1"/>
    <col min="11770" max="12016" width="8.85546875" style="37"/>
    <col min="12017" max="12017" width="13.42578125" style="37" customWidth="1"/>
    <col min="12018" max="12018" width="15.5703125" style="37" customWidth="1"/>
    <col min="12019" max="12019" width="14.85546875" style="37" customWidth="1"/>
    <col min="12020" max="12020" width="13.42578125" style="37" customWidth="1"/>
    <col min="12021" max="12021" width="8.85546875" style="37"/>
    <col min="12022" max="12022" width="9.140625" style="37" customWidth="1"/>
    <col min="12023" max="12023" width="5.42578125" style="37" customWidth="1"/>
    <col min="12024" max="12024" width="15.85546875" style="37" bestFit="1" customWidth="1"/>
    <col min="12025" max="12025" width="15.85546875" style="37" customWidth="1"/>
    <col min="12026" max="12272" width="8.85546875" style="37"/>
    <col min="12273" max="12273" width="13.42578125" style="37" customWidth="1"/>
    <col min="12274" max="12274" width="15.5703125" style="37" customWidth="1"/>
    <col min="12275" max="12275" width="14.85546875" style="37" customWidth="1"/>
    <col min="12276" max="12276" width="13.42578125" style="37" customWidth="1"/>
    <col min="12277" max="12277" width="8.85546875" style="37"/>
    <col min="12278" max="12278" width="9.140625" style="37" customWidth="1"/>
    <col min="12279" max="12279" width="5.42578125" style="37" customWidth="1"/>
    <col min="12280" max="12280" width="15.85546875" style="37" bestFit="1" customWidth="1"/>
    <col min="12281" max="12281" width="15.85546875" style="37" customWidth="1"/>
    <col min="12282" max="12528" width="8.85546875" style="37"/>
    <col min="12529" max="12529" width="13.42578125" style="37" customWidth="1"/>
    <col min="12530" max="12530" width="15.5703125" style="37" customWidth="1"/>
    <col min="12531" max="12531" width="14.85546875" style="37" customWidth="1"/>
    <col min="12532" max="12532" width="13.42578125" style="37" customWidth="1"/>
    <col min="12533" max="12533" width="8.85546875" style="37"/>
    <col min="12534" max="12534" width="9.140625" style="37" customWidth="1"/>
    <col min="12535" max="12535" width="5.42578125" style="37" customWidth="1"/>
    <col min="12536" max="12536" width="15.85546875" style="37" bestFit="1" customWidth="1"/>
    <col min="12537" max="12537" width="15.85546875" style="37" customWidth="1"/>
    <col min="12538" max="12784" width="8.85546875" style="37"/>
    <col min="12785" max="12785" width="13.42578125" style="37" customWidth="1"/>
    <col min="12786" max="12786" width="15.5703125" style="37" customWidth="1"/>
    <col min="12787" max="12787" width="14.85546875" style="37" customWidth="1"/>
    <col min="12788" max="12788" width="13.42578125" style="37" customWidth="1"/>
    <col min="12789" max="12789" width="8.85546875" style="37"/>
    <col min="12790" max="12790" width="9.140625" style="37" customWidth="1"/>
    <col min="12791" max="12791" width="5.42578125" style="37" customWidth="1"/>
    <col min="12792" max="12792" width="15.85546875" style="37" bestFit="1" customWidth="1"/>
    <col min="12793" max="12793" width="15.85546875" style="37" customWidth="1"/>
    <col min="12794" max="13040" width="8.85546875" style="37"/>
    <col min="13041" max="13041" width="13.42578125" style="37" customWidth="1"/>
    <col min="13042" max="13042" width="15.5703125" style="37" customWidth="1"/>
    <col min="13043" max="13043" width="14.85546875" style="37" customWidth="1"/>
    <col min="13044" max="13044" width="13.42578125" style="37" customWidth="1"/>
    <col min="13045" max="13045" width="8.85546875" style="37"/>
    <col min="13046" max="13046" width="9.140625" style="37" customWidth="1"/>
    <col min="13047" max="13047" width="5.42578125" style="37" customWidth="1"/>
    <col min="13048" max="13048" width="15.85546875" style="37" bestFit="1" customWidth="1"/>
    <col min="13049" max="13049" width="15.85546875" style="37" customWidth="1"/>
    <col min="13050" max="13296" width="8.85546875" style="37"/>
    <col min="13297" max="13297" width="13.42578125" style="37" customWidth="1"/>
    <col min="13298" max="13298" width="15.5703125" style="37" customWidth="1"/>
    <col min="13299" max="13299" width="14.85546875" style="37" customWidth="1"/>
    <col min="13300" max="13300" width="13.42578125" style="37" customWidth="1"/>
    <col min="13301" max="13301" width="8.85546875" style="37"/>
    <col min="13302" max="13302" width="9.140625" style="37" customWidth="1"/>
    <col min="13303" max="13303" width="5.42578125" style="37" customWidth="1"/>
    <col min="13304" max="13304" width="15.85546875" style="37" bestFit="1" customWidth="1"/>
    <col min="13305" max="13305" width="15.85546875" style="37" customWidth="1"/>
    <col min="13306" max="13552" width="8.85546875" style="37"/>
    <col min="13553" max="13553" width="13.42578125" style="37" customWidth="1"/>
    <col min="13554" max="13554" width="15.5703125" style="37" customWidth="1"/>
    <col min="13555" max="13555" width="14.85546875" style="37" customWidth="1"/>
    <col min="13556" max="13556" width="13.42578125" style="37" customWidth="1"/>
    <col min="13557" max="13557" width="8.85546875" style="37"/>
    <col min="13558" max="13558" width="9.140625" style="37" customWidth="1"/>
    <col min="13559" max="13559" width="5.42578125" style="37" customWidth="1"/>
    <col min="13560" max="13560" width="15.85546875" style="37" bestFit="1" customWidth="1"/>
    <col min="13561" max="13561" width="15.85546875" style="37" customWidth="1"/>
    <col min="13562" max="13808" width="8.85546875" style="37"/>
    <col min="13809" max="13809" width="13.42578125" style="37" customWidth="1"/>
    <col min="13810" max="13810" width="15.5703125" style="37" customWidth="1"/>
    <col min="13811" max="13811" width="14.85546875" style="37" customWidth="1"/>
    <col min="13812" max="13812" width="13.42578125" style="37" customWidth="1"/>
    <col min="13813" max="13813" width="8.85546875" style="37"/>
    <col min="13814" max="13814" width="9.140625" style="37" customWidth="1"/>
    <col min="13815" max="13815" width="5.42578125" style="37" customWidth="1"/>
    <col min="13816" max="13816" width="15.85546875" style="37" bestFit="1" customWidth="1"/>
    <col min="13817" max="13817" width="15.85546875" style="37" customWidth="1"/>
    <col min="13818" max="14064" width="8.85546875" style="37"/>
    <col min="14065" max="14065" width="13.42578125" style="37" customWidth="1"/>
    <col min="14066" max="14066" width="15.5703125" style="37" customWidth="1"/>
    <col min="14067" max="14067" width="14.85546875" style="37" customWidth="1"/>
    <col min="14068" max="14068" width="13.42578125" style="37" customWidth="1"/>
    <col min="14069" max="14069" width="8.85546875" style="37"/>
    <col min="14070" max="14070" width="9.140625" style="37" customWidth="1"/>
    <col min="14071" max="14071" width="5.42578125" style="37" customWidth="1"/>
    <col min="14072" max="14072" width="15.85546875" style="37" bestFit="1" customWidth="1"/>
    <col min="14073" max="14073" width="15.85546875" style="37" customWidth="1"/>
    <col min="14074" max="14320" width="8.85546875" style="37"/>
    <col min="14321" max="14321" width="13.42578125" style="37" customWidth="1"/>
    <col min="14322" max="14322" width="15.5703125" style="37" customWidth="1"/>
    <col min="14323" max="14323" width="14.85546875" style="37" customWidth="1"/>
    <col min="14324" max="14324" width="13.42578125" style="37" customWidth="1"/>
    <col min="14325" max="14325" width="8.85546875" style="37"/>
    <col min="14326" max="14326" width="9.140625" style="37" customWidth="1"/>
    <col min="14327" max="14327" width="5.42578125" style="37" customWidth="1"/>
    <col min="14328" max="14328" width="15.85546875" style="37" bestFit="1" customWidth="1"/>
    <col min="14329" max="14329" width="15.85546875" style="37" customWidth="1"/>
    <col min="14330" max="14576" width="8.85546875" style="37"/>
    <col min="14577" max="14577" width="13.42578125" style="37" customWidth="1"/>
    <col min="14578" max="14578" width="15.5703125" style="37" customWidth="1"/>
    <col min="14579" max="14579" width="14.85546875" style="37" customWidth="1"/>
    <col min="14580" max="14580" width="13.42578125" style="37" customWidth="1"/>
    <col min="14581" max="14581" width="8.85546875" style="37"/>
    <col min="14582" max="14582" width="9.140625" style="37" customWidth="1"/>
    <col min="14583" max="14583" width="5.42578125" style="37" customWidth="1"/>
    <col min="14584" max="14584" width="15.85546875" style="37" bestFit="1" customWidth="1"/>
    <col min="14585" max="14585" width="15.85546875" style="37" customWidth="1"/>
    <col min="14586" max="14832" width="8.85546875" style="37"/>
    <col min="14833" max="14833" width="13.42578125" style="37" customWidth="1"/>
    <col min="14834" max="14834" width="15.5703125" style="37" customWidth="1"/>
    <col min="14835" max="14835" width="14.85546875" style="37" customWidth="1"/>
    <col min="14836" max="14836" width="13.42578125" style="37" customWidth="1"/>
    <col min="14837" max="14837" width="8.85546875" style="37"/>
    <col min="14838" max="14838" width="9.140625" style="37" customWidth="1"/>
    <col min="14839" max="14839" width="5.42578125" style="37" customWidth="1"/>
    <col min="14840" max="14840" width="15.85546875" style="37" bestFit="1" customWidth="1"/>
    <col min="14841" max="14841" width="15.85546875" style="37" customWidth="1"/>
    <col min="14842" max="15088" width="8.85546875" style="37"/>
    <col min="15089" max="15089" width="13.42578125" style="37" customWidth="1"/>
    <col min="15090" max="15090" width="15.5703125" style="37" customWidth="1"/>
    <col min="15091" max="15091" width="14.85546875" style="37" customWidth="1"/>
    <col min="15092" max="15092" width="13.42578125" style="37" customWidth="1"/>
    <col min="15093" max="15093" width="8.85546875" style="37"/>
    <col min="15094" max="15094" width="9.140625" style="37" customWidth="1"/>
    <col min="15095" max="15095" width="5.42578125" style="37" customWidth="1"/>
    <col min="15096" max="15096" width="15.85546875" style="37" bestFit="1" customWidth="1"/>
    <col min="15097" max="15097" width="15.85546875" style="37" customWidth="1"/>
    <col min="15098" max="15344" width="8.85546875" style="37"/>
    <col min="15345" max="15345" width="13.42578125" style="37" customWidth="1"/>
    <col min="15346" max="15346" width="15.5703125" style="37" customWidth="1"/>
    <col min="15347" max="15347" width="14.85546875" style="37" customWidth="1"/>
    <col min="15348" max="15348" width="13.42578125" style="37" customWidth="1"/>
    <col min="15349" max="15349" width="8.85546875" style="37"/>
    <col min="15350" max="15350" width="9.140625" style="37" customWidth="1"/>
    <col min="15351" max="15351" width="5.42578125" style="37" customWidth="1"/>
    <col min="15352" max="15352" width="15.85546875" style="37" bestFit="1" customWidth="1"/>
    <col min="15353" max="15353" width="15.85546875" style="37" customWidth="1"/>
    <col min="15354" max="15600" width="8.85546875" style="37"/>
    <col min="15601" max="15601" width="13.42578125" style="37" customWidth="1"/>
    <col min="15602" max="15602" width="15.5703125" style="37" customWidth="1"/>
    <col min="15603" max="15603" width="14.85546875" style="37" customWidth="1"/>
    <col min="15604" max="15604" width="13.42578125" style="37" customWidth="1"/>
    <col min="15605" max="15605" width="8.85546875" style="37"/>
    <col min="15606" max="15606" width="9.140625" style="37" customWidth="1"/>
    <col min="15607" max="15607" width="5.42578125" style="37" customWidth="1"/>
    <col min="15608" max="15608" width="15.85546875" style="37" bestFit="1" customWidth="1"/>
    <col min="15609" max="15609" width="15.85546875" style="37" customWidth="1"/>
    <col min="15610" max="15856" width="8.85546875" style="37"/>
    <col min="15857" max="15857" width="13.42578125" style="37" customWidth="1"/>
    <col min="15858" max="15858" width="15.5703125" style="37" customWidth="1"/>
    <col min="15859" max="15859" width="14.85546875" style="37" customWidth="1"/>
    <col min="15860" max="15860" width="13.42578125" style="37" customWidth="1"/>
    <col min="15861" max="15861" width="8.85546875" style="37"/>
    <col min="15862" max="15862" width="9.140625" style="37" customWidth="1"/>
    <col min="15863" max="15863" width="5.42578125" style="37" customWidth="1"/>
    <col min="15864" max="15864" width="15.85546875" style="37" bestFit="1" customWidth="1"/>
    <col min="15865" max="15865" width="15.85546875" style="37" customWidth="1"/>
    <col min="15866" max="16112" width="8.85546875" style="37"/>
    <col min="16113" max="16113" width="13.42578125" style="37" customWidth="1"/>
    <col min="16114" max="16114" width="15.5703125" style="37" customWidth="1"/>
    <col min="16115" max="16115" width="14.85546875" style="37" customWidth="1"/>
    <col min="16116" max="16116" width="13.42578125" style="37" customWidth="1"/>
    <col min="16117" max="16117" width="8.85546875" style="37"/>
    <col min="16118" max="16118" width="9.140625" style="37" customWidth="1"/>
    <col min="16119" max="16119" width="5.42578125" style="37" customWidth="1"/>
    <col min="16120" max="16120" width="15.85546875" style="37" bestFit="1" customWidth="1"/>
    <col min="16121" max="16121" width="15.85546875" style="37" customWidth="1"/>
    <col min="16122" max="16384" width="8.85546875" style="37"/>
  </cols>
  <sheetData>
    <row r="1" spans="2:10" ht="7.35" customHeight="1" thickBot="1" x14ac:dyDescent="0.35"/>
    <row r="2" spans="2:10" s="11" customFormat="1" ht="33" customHeight="1" thickBot="1" x14ac:dyDescent="0.35">
      <c r="B2" s="150" t="s">
        <v>24</v>
      </c>
      <c r="C2" s="151"/>
      <c r="D2" s="151"/>
      <c r="E2" s="151"/>
      <c r="F2" s="151"/>
      <c r="G2" s="151"/>
      <c r="H2" s="151"/>
      <c r="I2" s="151"/>
      <c r="J2" s="152"/>
    </row>
    <row r="3" spans="2:10" s="40" customFormat="1" ht="15.75" customHeight="1" thickBot="1" x14ac:dyDescent="0.35">
      <c r="B3" s="77" t="s">
        <v>1</v>
      </c>
      <c r="C3" s="78"/>
      <c r="D3" s="88"/>
      <c r="E3" s="77" t="s">
        <v>2</v>
      </c>
      <c r="F3" s="78"/>
      <c r="G3" s="88"/>
      <c r="H3" s="86" t="s">
        <v>3</v>
      </c>
      <c r="I3" s="95"/>
      <c r="J3" s="87"/>
    </row>
    <row r="4" spans="2:10" s="40" customFormat="1" ht="18" customHeight="1" thickBot="1" x14ac:dyDescent="0.35">
      <c r="B4" s="79" t="s">
        <v>67</v>
      </c>
      <c r="C4" s="81"/>
      <c r="D4" s="153"/>
      <c r="E4" s="154">
        <f>Invoice!E4</f>
        <v>53598059</v>
      </c>
      <c r="F4" s="106"/>
      <c r="G4" s="155"/>
      <c r="H4" s="156">
        <f>Invoice!H4</f>
        <v>46155</v>
      </c>
      <c r="I4" s="157"/>
      <c r="J4" s="158"/>
    </row>
    <row r="5" spans="2:10" s="40" customFormat="1" ht="18" customHeight="1" thickBot="1" x14ac:dyDescent="0.35">
      <c r="B5" s="82"/>
      <c r="C5" s="81"/>
      <c r="D5" s="81"/>
      <c r="E5" s="77" t="s">
        <v>34</v>
      </c>
      <c r="F5" s="78"/>
      <c r="G5" s="78"/>
      <c r="H5" s="78"/>
      <c r="I5" s="78"/>
      <c r="J5" s="88"/>
    </row>
    <row r="6" spans="2:10" s="40" customFormat="1" ht="26.45" customHeight="1" x14ac:dyDescent="0.3">
      <c r="B6" s="82"/>
      <c r="C6" s="81"/>
      <c r="D6" s="153"/>
      <c r="E6" s="102" t="str">
        <f>Invoice!E6</f>
        <v>53598062, 53598053, 53598054</v>
      </c>
      <c r="F6" s="159"/>
      <c r="G6" s="159"/>
      <c r="H6" s="159"/>
      <c r="I6" s="159"/>
      <c r="J6" s="160"/>
    </row>
    <row r="7" spans="2:10" s="40" customFormat="1" ht="15.75" customHeight="1" x14ac:dyDescent="0.3">
      <c r="B7" s="139" t="s">
        <v>32</v>
      </c>
      <c r="C7" s="140"/>
      <c r="D7" s="140"/>
      <c r="E7" s="141" t="s">
        <v>36</v>
      </c>
      <c r="F7" s="142"/>
      <c r="G7" s="142"/>
      <c r="H7" s="142"/>
      <c r="I7" s="142"/>
      <c r="J7" s="143"/>
    </row>
    <row r="8" spans="2:10" s="40" customFormat="1" ht="21.6" customHeight="1" x14ac:dyDescent="0.3">
      <c r="B8" s="144" t="s">
        <v>44</v>
      </c>
      <c r="C8" s="83"/>
      <c r="D8" s="84"/>
      <c r="E8" s="144" t="s">
        <v>45</v>
      </c>
      <c r="F8" s="83"/>
      <c r="G8" s="83"/>
      <c r="H8" s="83"/>
      <c r="I8" s="83"/>
      <c r="J8" s="84"/>
    </row>
    <row r="9" spans="2:10" s="40" customFormat="1" ht="18.600000000000001" customHeight="1" x14ac:dyDescent="0.3">
      <c r="B9" s="79"/>
      <c r="C9" s="80"/>
      <c r="D9" s="85"/>
      <c r="E9" s="79"/>
      <c r="F9" s="80"/>
      <c r="G9" s="80"/>
      <c r="H9" s="80"/>
      <c r="I9" s="80"/>
      <c r="J9" s="85"/>
    </row>
    <row r="10" spans="2:10" s="40" customFormat="1" ht="18.600000000000001" customHeight="1" x14ac:dyDescent="0.3">
      <c r="B10" s="79"/>
      <c r="C10" s="80"/>
      <c r="D10" s="85"/>
      <c r="E10" s="79"/>
      <c r="F10" s="80"/>
      <c r="G10" s="80"/>
      <c r="H10" s="80"/>
      <c r="I10" s="80"/>
      <c r="J10" s="85"/>
    </row>
    <row r="11" spans="2:10" s="40" customFormat="1" ht="13.35" customHeight="1" x14ac:dyDescent="0.3">
      <c r="B11" s="79"/>
      <c r="C11" s="80"/>
      <c r="D11" s="85"/>
      <c r="E11" s="79"/>
      <c r="F11" s="80"/>
      <c r="G11" s="80"/>
      <c r="H11" s="80"/>
      <c r="I11" s="80"/>
      <c r="J11" s="85"/>
    </row>
    <row r="12" spans="2:10" s="40" customFormat="1" x14ac:dyDescent="0.3">
      <c r="B12" s="54" t="s">
        <v>5</v>
      </c>
      <c r="C12" s="145" t="s">
        <v>6</v>
      </c>
      <c r="D12" s="146"/>
      <c r="E12" s="147"/>
      <c r="F12" s="140"/>
      <c r="G12" s="140"/>
      <c r="H12" s="140"/>
      <c r="I12" s="140"/>
      <c r="J12" s="148"/>
    </row>
    <row r="13" spans="2:10" s="40" customFormat="1" ht="14.45" customHeight="1" x14ac:dyDescent="0.3">
      <c r="B13" s="33" t="s">
        <v>68</v>
      </c>
      <c r="C13" s="133" t="s">
        <v>40</v>
      </c>
      <c r="D13" s="133"/>
      <c r="E13" s="134"/>
      <c r="F13" s="135"/>
      <c r="G13" s="135"/>
      <c r="H13" s="135"/>
      <c r="I13" s="135"/>
      <c r="J13" s="136"/>
    </row>
    <row r="14" spans="2:10" s="40" customFormat="1" x14ac:dyDescent="0.3">
      <c r="B14" s="55" t="s">
        <v>8</v>
      </c>
      <c r="C14" s="138" t="s">
        <v>9</v>
      </c>
      <c r="D14" s="138"/>
      <c r="E14" s="137"/>
      <c r="F14" s="106"/>
      <c r="G14" s="106"/>
      <c r="H14" s="106"/>
      <c r="I14" s="106"/>
      <c r="J14" s="107"/>
    </row>
    <row r="15" spans="2:10" s="40" customFormat="1" x14ac:dyDescent="0.3">
      <c r="B15" s="34" t="s">
        <v>30</v>
      </c>
      <c r="C15" s="149" t="s">
        <v>29</v>
      </c>
      <c r="D15" s="133"/>
      <c r="E15" s="137"/>
      <c r="F15" s="106"/>
      <c r="G15" s="106"/>
      <c r="H15" s="106"/>
      <c r="I15" s="106"/>
      <c r="J15" s="107"/>
    </row>
    <row r="16" spans="2:10" s="40" customFormat="1" x14ac:dyDescent="0.3">
      <c r="B16" s="56" t="s">
        <v>10</v>
      </c>
      <c r="C16" s="57"/>
      <c r="D16" s="57"/>
      <c r="E16" s="58"/>
      <c r="F16" s="58"/>
      <c r="G16" s="58"/>
      <c r="H16" s="57"/>
      <c r="I16" s="57"/>
      <c r="J16" s="59"/>
    </row>
    <row r="17" spans="2:10" s="40" customFormat="1" ht="34.700000000000003" customHeight="1" thickBot="1" x14ac:dyDescent="0.35">
      <c r="B17" s="161" t="str">
        <f>Invoice!B18</f>
        <v>FOOTWEAR</v>
      </c>
      <c r="C17" s="103"/>
      <c r="D17" s="162"/>
      <c r="E17" s="163"/>
      <c r="F17" s="163"/>
      <c r="G17" s="163"/>
      <c r="H17" s="163"/>
      <c r="I17" s="163"/>
      <c r="J17" s="164"/>
    </row>
    <row r="18" spans="2:10" s="39" customFormat="1" ht="30" customHeight="1" thickBot="1" x14ac:dyDescent="0.3">
      <c r="B18" s="66" t="s">
        <v>33</v>
      </c>
      <c r="C18" s="67" t="s">
        <v>25</v>
      </c>
      <c r="D18" s="67" t="s">
        <v>26</v>
      </c>
      <c r="E18" s="165"/>
      <c r="F18" s="166"/>
      <c r="G18" s="167"/>
      <c r="H18" s="168"/>
      <c r="I18" s="169"/>
      <c r="J18" s="170"/>
    </row>
    <row r="19" spans="2:10" s="39" customFormat="1" x14ac:dyDescent="0.25">
      <c r="B19" s="71" t="s">
        <v>69</v>
      </c>
      <c r="C19" s="72">
        <v>1</v>
      </c>
      <c r="D19" s="73">
        <v>123.83</v>
      </c>
      <c r="E19" s="176"/>
      <c r="F19" s="176"/>
      <c r="G19" s="177"/>
      <c r="H19" s="171"/>
      <c r="I19" s="133"/>
      <c r="J19" s="172"/>
    </row>
    <row r="20" spans="2:10" s="39" customFormat="1" x14ac:dyDescent="0.25">
      <c r="B20" s="74" t="s">
        <v>70</v>
      </c>
      <c r="C20" s="61">
        <v>1</v>
      </c>
      <c r="D20" s="70">
        <v>50.35</v>
      </c>
      <c r="E20" s="178"/>
      <c r="F20" s="178"/>
      <c r="G20" s="179"/>
      <c r="H20" s="171"/>
      <c r="I20" s="133"/>
      <c r="J20" s="172"/>
    </row>
    <row r="21" spans="2:10" s="39" customFormat="1" ht="15.75" thickBot="1" x14ac:dyDescent="0.3">
      <c r="B21" s="68" t="s">
        <v>27</v>
      </c>
      <c r="C21" s="69">
        <f>SUM(C19:C20)</f>
        <v>2</v>
      </c>
      <c r="D21" s="69">
        <f>SUM(D19:D20)</f>
        <v>174.18</v>
      </c>
      <c r="E21" s="180"/>
      <c r="F21" s="181"/>
      <c r="G21" s="182"/>
      <c r="H21" s="173"/>
      <c r="I21" s="174"/>
      <c r="J21" s="175"/>
    </row>
    <row r="22" spans="2:10" s="40" customFormat="1" ht="15.75" thickBot="1" x14ac:dyDescent="0.35">
      <c r="B22" s="4"/>
      <c r="C22" s="5"/>
      <c r="D22" s="5"/>
      <c r="E22" s="23"/>
      <c r="F22" s="23"/>
      <c r="G22" s="23"/>
      <c r="H22" s="5"/>
      <c r="I22" s="5"/>
      <c r="J22" s="6"/>
    </row>
    <row r="23" spans="2:10" s="40" customFormat="1" ht="15.75" thickBot="1" x14ac:dyDescent="0.35">
      <c r="B23" s="183" t="s">
        <v>37</v>
      </c>
      <c r="C23" s="184"/>
      <c r="D23" s="184"/>
      <c r="E23" s="184"/>
      <c r="F23" s="184"/>
      <c r="G23" s="184"/>
      <c r="H23" s="184"/>
      <c r="I23" s="184"/>
      <c r="J23" s="185"/>
    </row>
    <row r="24" spans="2:10" s="40" customFormat="1" x14ac:dyDescent="0.3">
      <c r="B24" s="4"/>
      <c r="C24" s="5"/>
      <c r="D24" s="5"/>
      <c r="E24" s="23"/>
      <c r="F24" s="23"/>
      <c r="G24" s="23"/>
      <c r="H24" s="5"/>
      <c r="I24" s="5"/>
      <c r="J24" s="6"/>
    </row>
    <row r="25" spans="2:10" s="40" customFormat="1" x14ac:dyDescent="0.3">
      <c r="B25" s="4"/>
      <c r="C25" s="5"/>
      <c r="D25" s="5"/>
      <c r="E25" s="23"/>
      <c r="F25" s="23"/>
      <c r="G25" s="23"/>
      <c r="H25" s="5"/>
      <c r="I25" s="5"/>
      <c r="J25" s="6"/>
    </row>
    <row r="26" spans="2:10" s="40" customFormat="1" x14ac:dyDescent="0.3">
      <c r="B26" s="4"/>
      <c r="C26" s="5"/>
      <c r="D26" s="5"/>
      <c r="E26" s="23"/>
      <c r="F26" s="23"/>
      <c r="G26" s="23"/>
      <c r="H26" s="5"/>
      <c r="I26" s="5"/>
      <c r="J26" s="6"/>
    </row>
    <row r="27" spans="2:10" s="40" customFormat="1" x14ac:dyDescent="0.3">
      <c r="B27" s="4"/>
      <c r="C27" s="5"/>
      <c r="D27" s="5"/>
      <c r="E27" s="23"/>
      <c r="F27" s="23"/>
      <c r="G27" s="23"/>
      <c r="H27" s="5"/>
      <c r="I27" s="5"/>
      <c r="J27" s="6"/>
    </row>
    <row r="28" spans="2:10" s="40" customFormat="1" x14ac:dyDescent="0.3">
      <c r="B28" s="10"/>
      <c r="C28" s="11"/>
      <c r="D28" s="11"/>
      <c r="E28" s="24"/>
      <c r="F28" s="111"/>
      <c r="G28" s="111"/>
      <c r="H28" s="8"/>
      <c r="I28" s="25"/>
      <c r="J28" s="9"/>
    </row>
    <row r="29" spans="2:10" s="40" customFormat="1" x14ac:dyDescent="0.3">
      <c r="B29" s="10"/>
      <c r="C29" s="11"/>
      <c r="D29" s="11"/>
      <c r="E29" s="24"/>
      <c r="F29" s="111" t="s">
        <v>21</v>
      </c>
      <c r="G29" s="111"/>
      <c r="H29" s="75">
        <f>Invoice!J30</f>
        <v>174</v>
      </c>
      <c r="I29" s="62"/>
      <c r="J29" s="9"/>
    </row>
    <row r="30" spans="2:10" s="40" customFormat="1" x14ac:dyDescent="0.3">
      <c r="B30" s="10"/>
      <c r="C30" s="11"/>
      <c r="D30" s="11"/>
      <c r="E30" s="24"/>
      <c r="F30" s="111" t="s">
        <v>22</v>
      </c>
      <c r="G30" s="111"/>
      <c r="H30" s="76">
        <f>Invoice!J31</f>
        <v>2.1796407185628741</v>
      </c>
      <c r="I30" s="62"/>
      <c r="J30" s="9"/>
    </row>
    <row r="31" spans="2:10" s="40" customFormat="1" x14ac:dyDescent="0.3">
      <c r="B31" s="10"/>
      <c r="C31" s="11"/>
      <c r="D31" s="11"/>
      <c r="E31" s="24"/>
      <c r="F31" s="111" t="s">
        <v>28</v>
      </c>
      <c r="G31" s="111"/>
      <c r="H31" s="75">
        <f>Invoice!J32</f>
        <v>13</v>
      </c>
      <c r="I31" s="62"/>
      <c r="J31" s="9"/>
    </row>
    <row r="32" spans="2:10" s="40" customFormat="1" x14ac:dyDescent="0.3">
      <c r="B32" s="10"/>
      <c r="C32" s="11"/>
      <c r="D32" s="11"/>
      <c r="E32" s="24"/>
      <c r="F32" s="111" t="s">
        <v>23</v>
      </c>
      <c r="G32" s="111"/>
      <c r="H32" s="75">
        <f>Invoice!J33</f>
        <v>2</v>
      </c>
      <c r="I32" s="62"/>
      <c r="J32" s="9"/>
    </row>
    <row r="33" spans="2:10" s="40" customFormat="1" x14ac:dyDescent="0.3">
      <c r="B33" s="10"/>
      <c r="C33" s="12"/>
      <c r="D33" s="26"/>
      <c r="E33" s="24"/>
      <c r="F33" s="111"/>
      <c r="G33" s="111"/>
      <c r="H33" s="27"/>
      <c r="I33" s="28"/>
      <c r="J33" s="9"/>
    </row>
    <row r="34" spans="2:10" s="40" customFormat="1" x14ac:dyDescent="0.3">
      <c r="B34" s="10"/>
      <c r="C34" s="11"/>
      <c r="D34" s="11"/>
      <c r="E34" s="24"/>
      <c r="F34" s="24"/>
      <c r="G34" s="7"/>
      <c r="H34" s="11"/>
      <c r="I34" s="29"/>
      <c r="J34" s="9"/>
    </row>
    <row r="35" spans="2:10" s="40" customFormat="1" ht="15.75" thickBot="1" x14ac:dyDescent="0.35">
      <c r="B35" s="18" t="s">
        <v>39</v>
      </c>
      <c r="C35" s="15"/>
      <c r="D35" s="15"/>
      <c r="E35" s="19"/>
      <c r="F35" s="19"/>
      <c r="G35" s="20"/>
      <c r="H35" s="15"/>
      <c r="I35" s="21"/>
      <c r="J35" s="22"/>
    </row>
  </sheetData>
  <mergeCells count="33">
    <mergeCell ref="F33:G33"/>
    <mergeCell ref="E21:G21"/>
    <mergeCell ref="F28:G28"/>
    <mergeCell ref="F29:G29"/>
    <mergeCell ref="F30:G30"/>
    <mergeCell ref="F31:G31"/>
    <mergeCell ref="F32:G32"/>
    <mergeCell ref="B23:J23"/>
    <mergeCell ref="B17:D17"/>
    <mergeCell ref="E17:J17"/>
    <mergeCell ref="E18:G18"/>
    <mergeCell ref="H18:J21"/>
    <mergeCell ref="E19:G19"/>
    <mergeCell ref="E20:G20"/>
    <mergeCell ref="B2:J2"/>
    <mergeCell ref="B3:D3"/>
    <mergeCell ref="H3:J3"/>
    <mergeCell ref="B4:D6"/>
    <mergeCell ref="E4:G4"/>
    <mergeCell ref="H4:J4"/>
    <mergeCell ref="E5:J5"/>
    <mergeCell ref="E6:J6"/>
    <mergeCell ref="E3:G3"/>
    <mergeCell ref="C13:D13"/>
    <mergeCell ref="E13:J15"/>
    <mergeCell ref="C14:D14"/>
    <mergeCell ref="B7:D7"/>
    <mergeCell ref="E7:J7"/>
    <mergeCell ref="B8:D11"/>
    <mergeCell ref="E8:J11"/>
    <mergeCell ref="C12:D12"/>
    <mergeCell ref="E12:J12"/>
    <mergeCell ref="C15:D15"/>
  </mergeCells>
  <pageMargins left="0.2" right="0.16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 - Pallets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Kamble</dc:creator>
  <cp:lastModifiedBy>Cem Yıldırım</cp:lastModifiedBy>
  <cp:lastPrinted>2024-12-04T10:13:55Z</cp:lastPrinted>
  <dcterms:created xsi:type="dcterms:W3CDTF">2024-08-08T14:40:35Z</dcterms:created>
  <dcterms:modified xsi:type="dcterms:W3CDTF">2026-06-11T05:08:37Z</dcterms:modified>
</cp:coreProperties>
</file>