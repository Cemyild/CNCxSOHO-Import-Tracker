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TAX CALCULATOR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[$$-409]#,##0.00"/>
    <numFmt numFmtId="165" formatCode="#,##0.00\ [$€-410]"/>
    <numFmt numFmtId="166" formatCode="&quot;₺&quot;#,##0.00"/>
    <numFmt numFmtId="167" formatCode="&quot;$&quot;* #,###,##0.00"/>
  </numFmts>
  <fonts count="1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20"/>
      <scheme val="minor"/>
    </font>
    <font>
      <name val="Aptos Narrow"/>
      <family val="2"/>
      <color theme="1"/>
      <sz val="9"/>
      <scheme val="minor"/>
    </font>
    <font>
      <name val="Aptos Narrow"/>
      <family val="2"/>
      <b val="1"/>
      <color theme="1"/>
      <sz val="9"/>
      <scheme val="minor"/>
    </font>
    <font>
      <name val="Aptos Narrow"/>
      <family val="2"/>
      <b val="1"/>
      <color theme="1"/>
      <sz val="16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color rgb="FFC00000"/>
      <sz val="12"/>
      <scheme val="minor"/>
    </font>
    <font>
      <name val="Aptos Narrow"/>
      <family val="2"/>
      <b val="1"/>
      <color rgb="FFC00000"/>
      <sz val="9"/>
      <scheme val="minor"/>
    </font>
    <font>
      <name val="Aptos Narrow"/>
      <family val="2"/>
      <b val="1"/>
      <color rgb="FFC00000"/>
      <sz val="14"/>
      <u val="single"/>
      <scheme val="minor"/>
    </font>
    <font>
      <name val="Aptos Narrow"/>
      <family val="2"/>
      <b val="1"/>
      <color rgb="FFFF0000"/>
      <sz val="9"/>
      <scheme val="minor"/>
    </font>
    <font>
      <name val="Aptos Narrow"/>
      <family val="2"/>
      <b val="1"/>
      <color rgb="FFC00000"/>
      <sz val="18"/>
      <u val="single"/>
      <scheme val="minor"/>
    </font>
    <font>
      <name val="Arial"/>
      <family val="2"/>
      <b val="1"/>
      <sz val="9"/>
    </font>
  </fonts>
  <fills count="9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1" tint="0.049989318521683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0" tint="-0.1499984740745262"/>
        <bgColor theme="0" tint="-0.1499984740745262"/>
      </patternFill>
    </fill>
  </fills>
  <borders count="1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theme="1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indexed="64"/>
      </top>
      <bottom/>
      <diagonal/>
    </border>
    <border>
      <left/>
      <right style="thin">
        <color theme="1"/>
      </right>
      <top style="thin">
        <color theme="1"/>
      </top>
      <bottom/>
      <diagon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pivotButton="0" quotePrefix="0" xfId="0"/>
    <xf numFmtId="164" fontId="2" fillId="0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/>
    </xf>
    <xf numFmtId="165" fontId="5" fillId="2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14" fontId="3" fillId="0" borderId="0" applyAlignment="1" pivotButton="0" quotePrefix="0" xfId="0">
      <alignment horizontal="center" vertical="center"/>
    </xf>
    <xf numFmtId="1" fontId="4" fillId="0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 wrapText="1"/>
    </xf>
    <xf numFmtId="0" fontId="3" fillId="0" borderId="3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9" fillId="0" borderId="1" applyAlignment="1" pivotButton="0" quotePrefix="0" xfId="0">
      <alignment horizontal="center"/>
    </xf>
    <xf numFmtId="164" fontId="8" fillId="3" borderId="0" applyAlignment="1" pivotButton="0" quotePrefix="0" xfId="0">
      <alignment horizontal="center" vertical="center"/>
    </xf>
    <xf numFmtId="164" fontId="8" fillId="4" borderId="0" applyAlignment="1" pivotButton="0" quotePrefix="0" xfId="0">
      <alignment horizontal="center" vertical="center"/>
    </xf>
    <xf numFmtId="166" fontId="10" fillId="5" borderId="0" applyAlignment="1" pivotButton="0" quotePrefix="0" xfId="0">
      <alignment horizontal="center" vertical="center"/>
    </xf>
    <xf numFmtId="164" fontId="7" fillId="3" borderId="0" pivotButton="0" quotePrefix="0" xfId="0"/>
    <xf numFmtId="0" fontId="7" fillId="5" borderId="0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5" applyAlignment="1" pivotButton="0" quotePrefix="0" xfId="0">
      <alignment horizontal="center" vertical="center"/>
    </xf>
    <xf numFmtId="0" fontId="2" fillId="0" borderId="5" pivotButton="0" quotePrefix="0" xfId="0"/>
    <xf numFmtId="164" fontId="2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vertical="center" wrapText="1"/>
    </xf>
    <xf numFmtId="0" fontId="9" fillId="0" borderId="5" applyAlignment="1" pivotButton="0" quotePrefix="0" xfId="0">
      <alignment horizontal="center"/>
    </xf>
    <xf numFmtId="0" fontId="11" fillId="3" borderId="7" applyAlignment="1" pivotButton="0" quotePrefix="0" xfId="0">
      <alignment horizontal="center"/>
    </xf>
    <xf numFmtId="0" fontId="11" fillId="3" borderId="8" applyAlignment="1" pivotButton="0" quotePrefix="0" xfId="0">
      <alignment horizontal="center"/>
    </xf>
    <xf numFmtId="0" fontId="11" fillId="3" borderId="9" applyAlignment="1" pivotButton="0" quotePrefix="0" xfId="0">
      <alignment horizontal="center"/>
    </xf>
    <xf numFmtId="1" fontId="11" fillId="3" borderId="10" applyAlignment="1" pivotButton="0" quotePrefix="0" xfId="0">
      <alignment horizontal="center"/>
    </xf>
    <xf numFmtId="0" fontId="11" fillId="3" borderId="10" applyAlignment="1" pivotButton="0" quotePrefix="0" xfId="0">
      <alignment horizontal="center"/>
    </xf>
    <xf numFmtId="0" fontId="11" fillId="6" borderId="10" applyAlignment="1" pivotButton="0" quotePrefix="0" xfId="0">
      <alignment horizontal="center" vertical="center"/>
    </xf>
    <xf numFmtId="0" fontId="11" fillId="6" borderId="10" applyAlignment="1" pivotButton="0" quotePrefix="0" xfId="0">
      <alignment horizontal="center"/>
    </xf>
    <xf numFmtId="164" fontId="11" fillId="6" borderId="10" applyAlignment="1" pivotButton="0" quotePrefix="0" xfId="0">
      <alignment horizontal="center" vertical="center"/>
    </xf>
    <xf numFmtId="164" fontId="11" fillId="6" borderId="9" applyAlignment="1" pivotButton="0" quotePrefix="0" xfId="0">
      <alignment horizontal="center" vertical="center"/>
    </xf>
    <xf numFmtId="0" fontId="11" fillId="7" borderId="10" applyAlignment="1" pivotButton="0" quotePrefix="0" xfId="0">
      <alignment horizontal="center"/>
    </xf>
    <xf numFmtId="0" fontId="11" fillId="7" borderId="11" applyAlignment="1" pivotButton="0" quotePrefix="0" xfId="0">
      <alignment horizontal="center"/>
    </xf>
    <xf numFmtId="0" fontId="11" fillId="0" borderId="9" applyAlignment="1" pivotButton="0" quotePrefix="0" xfId="0">
      <alignment horizontal="center"/>
    </xf>
    <xf numFmtId="0" fontId="0" fillId="8" borderId="7" applyAlignment="1" pivotButton="0" quotePrefix="0" xfId="0">
      <alignment horizontal="center" vertical="center"/>
    </xf>
    <xf numFmtId="49" fontId="0" fillId="8" borderId="7" applyAlignment="1" pivotButton="0" quotePrefix="0" xfId="0">
      <alignment horizontal="center" vertical="center"/>
    </xf>
    <xf numFmtId="2" fontId="0" fillId="8" borderId="7" applyAlignment="1" pivotButton="0" quotePrefix="0" xfId="0">
      <alignment horizontal="center" vertical="center"/>
    </xf>
    <xf numFmtId="165" fontId="2" fillId="8" borderId="7" applyAlignment="1" pivotButton="0" quotePrefix="0" xfId="0">
      <alignment horizontal="center"/>
    </xf>
    <xf numFmtId="167" fontId="2" fillId="8" borderId="7" applyAlignment="1" pivotButton="0" quotePrefix="0" xfId="0">
      <alignment horizontal="center"/>
    </xf>
    <xf numFmtId="1" fontId="2" fillId="8" borderId="12" applyAlignment="1" pivotButton="0" quotePrefix="0" xfId="0">
      <alignment horizontal="center"/>
    </xf>
    <xf numFmtId="167" fontId="2" fillId="8" borderId="12" applyAlignment="1" pivotButton="0" quotePrefix="0" xfId="0">
      <alignment horizontal="center"/>
    </xf>
    <xf numFmtId="0" fontId="2" fillId="8" borderId="12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2" fillId="8" borderId="13" applyAlignment="1" pivotButton="0" quotePrefix="0" xfId="0">
      <alignment horizontal="center" vertical="center"/>
    </xf>
    <xf numFmtId="164" fontId="2" fillId="8" borderId="13" applyAlignment="1" pivotButton="0" quotePrefix="0" xfId="0">
      <alignment horizontal="center"/>
    </xf>
    <xf numFmtId="164" fontId="2" fillId="8" borderId="0" applyAlignment="1" pivotButton="0" quotePrefix="0" xfId="0">
      <alignment horizontal="center"/>
    </xf>
    <xf numFmtId="10" fontId="2" fillId="8" borderId="12" applyAlignment="1" pivotButton="0" quotePrefix="0" xfId="0">
      <alignment horizontal="center" vertical="center"/>
    </xf>
    <xf numFmtId="9" fontId="2" fillId="8" borderId="12" applyAlignment="1" pivotButton="0" quotePrefix="0" xfId="0">
      <alignment horizontal="center" vertical="center"/>
    </xf>
    <xf numFmtId="164" fontId="2" fillId="8" borderId="12" applyAlignment="1" pivotButton="0" quotePrefix="0" xfId="0">
      <alignment horizontal="center"/>
    </xf>
    <xf numFmtId="164" fontId="2" fillId="8" borderId="14" applyAlignment="1" pivotButton="0" quotePrefix="0" xfId="0">
      <alignment horizontal="center"/>
    </xf>
    <xf numFmtId="0" fontId="0" fillId="0" borderId="7" applyAlignment="1" pivotButton="0" quotePrefix="0" xfId="0">
      <alignment horizontal="center" vertical="center"/>
    </xf>
    <xf numFmtId="49" fontId="0" fillId="0" borderId="7" applyAlignment="1" pivotButton="0" quotePrefix="0" xfId="0">
      <alignment horizontal="center" vertical="center"/>
    </xf>
    <xf numFmtId="2" fontId="0" fillId="0" borderId="7" applyAlignment="1" pivotButton="0" quotePrefix="0" xfId="0">
      <alignment horizontal="center" vertical="center"/>
    </xf>
    <xf numFmtId="165" fontId="2" fillId="0" borderId="7" applyAlignment="1" pivotButton="0" quotePrefix="0" xfId="0">
      <alignment horizontal="center"/>
    </xf>
    <xf numFmtId="167" fontId="2" fillId="0" borderId="10" applyAlignment="1" pivotButton="0" quotePrefix="0" xfId="0">
      <alignment horizontal="center"/>
    </xf>
    <xf numFmtId="1" fontId="2" fillId="0" borderId="13" applyAlignment="1" pivotButton="0" quotePrefix="0" xfId="0">
      <alignment horizontal="center"/>
    </xf>
    <xf numFmtId="167" fontId="2" fillId="0" borderId="13" applyAlignment="1" pivotButton="0" quotePrefix="0" xfId="0">
      <alignment horizontal="center"/>
    </xf>
    <xf numFmtId="164" fontId="2" fillId="0" borderId="13" applyAlignment="1" pivotButton="0" quotePrefix="0" xfId="0">
      <alignment horizontal="center"/>
    </xf>
    <xf numFmtId="10" fontId="2" fillId="0" borderId="13" applyAlignment="1" pivotButton="0" quotePrefix="0" xfId="0">
      <alignment horizontal="center" vertical="center"/>
    </xf>
    <xf numFmtId="9" fontId="2" fillId="0" borderId="13" applyAlignment="1" pivotButton="0" quotePrefix="0" xfId="0">
      <alignment horizontal="center" vertical="center"/>
    </xf>
    <xf numFmtId="164" fontId="2" fillId="0" borderId="15" applyAlignment="1" pivotButton="0" quotePrefix="0" xfId="0">
      <alignment horizontal="center"/>
    </xf>
    <xf numFmtId="167" fontId="2" fillId="8" borderId="10" applyAlignment="1" pivotButton="0" quotePrefix="0" xfId="0">
      <alignment horizontal="center"/>
    </xf>
    <xf numFmtId="1" fontId="2" fillId="8" borderId="13" applyAlignment="1" pivotButton="0" quotePrefix="0" xfId="0">
      <alignment horizontal="center"/>
    </xf>
    <xf numFmtId="167" fontId="2" fillId="8" borderId="13" applyAlignment="1" pivotButton="0" quotePrefix="0" xfId="0">
      <alignment horizontal="center"/>
    </xf>
    <xf numFmtId="10" fontId="2" fillId="8" borderId="13" applyAlignment="1" pivotButton="0" quotePrefix="0" xfId="0">
      <alignment horizontal="center" vertical="center"/>
    </xf>
    <xf numFmtId="9" fontId="2" fillId="8" borderId="13" applyAlignment="1" pivotButton="0" quotePrefix="0" xfId="0">
      <alignment horizontal="center" vertical="center"/>
    </xf>
    <xf numFmtId="164" fontId="2" fillId="8" borderId="15" applyAlignment="1" pivotButton="0" quotePrefix="0" xfId="0">
      <alignment horizontal="center"/>
    </xf>
    <xf numFmtId="165" fontId="2" fillId="8" borderId="7" applyAlignment="1" pivotButton="0" quotePrefix="0" xfId="0">
      <alignment horizontal="center" wrapText="1"/>
    </xf>
    <xf numFmtId="49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2" pivotButton="0" quotePrefix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9"/>
  <sheetViews>
    <sheetView showZeros="0" tabSelected="1" zoomScale="70" zoomScaleNormal="70" workbookViewId="0">
      <selection activeCell="H31" sqref="H31"/>
    </sheetView>
  </sheetViews>
  <sheetFormatPr baseColWidth="8" defaultColWidth="8.85546875" defaultRowHeight="12"/>
  <cols>
    <col width="15.7109375" bestFit="1" customWidth="1" style="6" min="1" max="1"/>
    <col width="22.140625" customWidth="1" style="6" min="2" max="2"/>
    <col width="19.5703125" customWidth="1" style="6" min="3" max="3"/>
    <col width="22.85546875" customWidth="1" style="6" min="4" max="4"/>
    <col width="33.140625" bestFit="1" customWidth="1" style="83" min="5" max="5"/>
    <col width="30" customWidth="1" style="6" min="6" max="6"/>
    <col width="27.5703125" bestFit="1" customWidth="1" style="6" min="7" max="7"/>
    <col width="27.7109375" customWidth="1" style="6" min="8" max="8"/>
    <col width="11.85546875" customWidth="1" style="6" min="9" max="9"/>
    <col width="11.28515625" customWidth="1" style="6" min="10" max="10"/>
    <col width="16" bestFit="1" customWidth="1" style="6" min="11" max="11"/>
    <col width="17.42578125" bestFit="1" customWidth="1" style="6" min="12" max="12"/>
    <col width="18.140625" customWidth="1" style="84" min="13" max="13"/>
    <col width="16.7109375" customWidth="1" style="6" min="14" max="14"/>
    <col width="21.140625" customWidth="1" style="6" min="15" max="16"/>
    <col width="15.7109375" bestFit="1" customWidth="1" style="85" min="17" max="17"/>
    <col width="22.42578125" bestFit="1" customWidth="1" style="85" min="18" max="18"/>
    <col width="22.42578125" customWidth="1" style="85" min="19" max="19"/>
    <col width="19.28515625" bestFit="1" customWidth="1" style="6" min="20" max="20"/>
    <col width="25.85546875" customWidth="1" style="6" min="21" max="21"/>
    <col width="11.7109375" bestFit="1" customWidth="1" style="6" min="22" max="22"/>
    <col width="10.7109375" bestFit="1" customWidth="1" style="6" min="23" max="23"/>
    <col width="23.7109375" bestFit="1" customWidth="1" style="6" min="24" max="24"/>
    <col width="24.7109375" customWidth="1" style="6" min="25" max="25"/>
    <col width="15.7109375" bestFit="1" customWidth="1" style="6" min="26" max="27"/>
    <col width="18.140625" bestFit="1" customWidth="1" style="6" min="28" max="28"/>
    <col width="12.7109375" bestFit="1" customWidth="1" style="6" min="29" max="30"/>
    <col width="30.85546875" bestFit="1" customWidth="1" style="6" min="31" max="31"/>
    <col width="27.28515625" bestFit="1" customWidth="1" style="6" min="32" max="32"/>
    <col width="8.85546875" customWidth="1" style="6" min="33" max="16384"/>
  </cols>
  <sheetData>
    <row r="1" ht="38.25" customHeight="1">
      <c r="A1" s="1" t="inlineStr">
        <is>
          <t>SOHO GROUP TAX CALCULATION SPREADSHEET</t>
        </is>
      </c>
      <c r="J1" s="2" t="n"/>
      <c r="K1" s="2" t="n"/>
      <c r="L1" s="2" t="n"/>
      <c r="M1" s="3" t="n"/>
      <c r="N1" s="4" t="n"/>
      <c r="O1" s="4" t="n"/>
      <c r="P1" s="4" t="n"/>
      <c r="Q1" s="5" t="n"/>
      <c r="R1" s="5" t="n"/>
      <c r="S1" s="5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</row>
    <row r="2" ht="24.75" customHeight="1">
      <c r="A2" s="7" t="inlineStr">
        <is>
          <t>INVOICE NO</t>
        </is>
      </c>
      <c r="B2" s="7" t="n"/>
      <c r="C2" s="7" t="inlineStr">
        <is>
          <t>TOTAL VALUE</t>
        </is>
      </c>
      <c r="D2" s="8">
        <f>SUM(L:L)</f>
        <v/>
      </c>
      <c r="E2" s="9" t="inlineStr">
        <is>
          <t>TRANSPORT COST</t>
        </is>
      </c>
      <c r="F2" s="10" t="n">
        <v>900</v>
      </c>
      <c r="G2" s="9" t="inlineStr">
        <is>
          <t>STORAGE COST</t>
        </is>
      </c>
      <c r="H2" s="10" t="n">
        <v>1000</v>
      </c>
      <c r="I2" s="2" t="n"/>
      <c r="J2" s="2" t="n"/>
      <c r="K2" s="2" t="n"/>
      <c r="L2" s="2" t="n"/>
      <c r="M2" s="2" t="n"/>
      <c r="N2" s="5" t="n"/>
      <c r="O2" s="5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</row>
    <row r="3" ht="10.5" customHeight="1">
      <c r="F3" s="11" t="inlineStr">
        <is>
          <t>USD</t>
        </is>
      </c>
      <c r="H3" s="11" t="inlineStr">
        <is>
          <t>USD</t>
        </is>
      </c>
      <c r="I3" s="2" t="n"/>
      <c r="J3" s="2" t="n"/>
      <c r="K3" s="2" t="n"/>
      <c r="L3" s="2" t="n"/>
      <c r="M3" s="2" t="n"/>
      <c r="N3" s="5" t="n"/>
      <c r="O3" s="5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</row>
    <row r="4" ht="26.25" customHeight="1">
      <c r="A4" s="17" t="inlineStr">
        <is>
          <t>INVOICE DATE</t>
        </is>
      </c>
      <c r="B4" s="12" t="n"/>
      <c r="C4" s="7" t="inlineStr">
        <is>
          <t>TOTAL QUANTITY</t>
        </is>
      </c>
      <c r="D4" s="13">
        <f>SUM(K:K)</f>
        <v/>
      </c>
      <c r="E4" s="14" t="inlineStr">
        <is>
          <t>INSURANCE COST</t>
        </is>
      </c>
      <c r="F4" s="10" t="n">
        <v>50</v>
      </c>
      <c r="G4" s="9" t="inlineStr">
        <is>
          <t>CURRENCY -USD/TL-</t>
        </is>
      </c>
      <c r="H4" s="15" t="n">
        <v>39.8</v>
      </c>
      <c r="I4" s="2" t="n"/>
      <c r="J4" s="2" t="n"/>
      <c r="K4" s="2" t="n"/>
      <c r="L4" s="2" t="n"/>
      <c r="M4" s="2" t="n"/>
      <c r="N4" s="5" t="n"/>
      <c r="O4" s="5" t="n"/>
      <c r="P4" s="16" t="n"/>
      <c r="Q4" s="16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</row>
    <row r="5" ht="11.25" customHeight="1">
      <c r="A5" s="86" t="n"/>
      <c r="F5" s="11" t="inlineStr">
        <is>
          <t>USD</t>
        </is>
      </c>
      <c r="H5" s="87" t="n"/>
      <c r="I5" s="2" t="n"/>
      <c r="J5" s="2" t="n"/>
      <c r="K5" s="2" t="n"/>
      <c r="L5" s="2" t="n"/>
      <c r="M5" s="2" t="n"/>
      <c r="N5" s="5" t="n"/>
      <c r="O5" s="5" t="n"/>
      <c r="P5" s="16" t="n"/>
      <c r="Q5" s="16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</row>
    <row r="6" ht="30" customHeight="1">
      <c r="A6" s="19" t="inlineStr">
        <is>
          <t>TOTAL CUSTOMS TAX</t>
        </is>
      </c>
      <c r="B6" s="19" t="inlineStr">
        <is>
          <t>TOTAL ADD. CUSTOMS TAX</t>
        </is>
      </c>
      <c r="C6" s="19" t="inlineStr">
        <is>
          <t xml:space="preserve">TOTAL KKDF </t>
        </is>
      </c>
      <c r="D6" s="19" t="inlineStr">
        <is>
          <t>TOTAL VAT (KKDF INCLUDED)</t>
        </is>
      </c>
      <c r="E6" s="19" t="inlineStr">
        <is>
          <t>TOTAL VAT (KKDF EXCLUDED)</t>
        </is>
      </c>
      <c r="F6" s="20" t="inlineStr">
        <is>
          <t>TOTAL TAX (KKDF INCLUDED)</t>
        </is>
      </c>
      <c r="G6" s="20" t="inlineStr">
        <is>
          <t>TOTAL TAX (KKDF EXCLUDED)</t>
        </is>
      </c>
      <c r="H6" s="21" t="inlineStr">
        <is>
          <t>TOTAL TAX TURKISH LIRA</t>
        </is>
      </c>
      <c r="I6" s="22" t="n"/>
      <c r="J6" s="22" t="n"/>
      <c r="K6" s="23" t="n"/>
      <c r="L6" s="22" t="n"/>
      <c r="M6" s="3" t="n"/>
      <c r="N6" s="4" t="n"/>
      <c r="O6" s="4" t="n"/>
      <c r="P6" s="4" t="n"/>
      <c r="Q6" s="5" t="n"/>
      <c r="R6" s="5" t="n"/>
      <c r="S6" s="5" t="n"/>
      <c r="T6" s="16" t="n"/>
      <c r="U6" s="16" t="n"/>
      <c r="V6" s="4" t="n"/>
      <c r="W6" s="4" t="n"/>
      <c r="X6" s="4" t="n"/>
      <c r="Y6" s="4" t="n"/>
      <c r="Z6" s="4" t="n"/>
      <c r="AA6" s="24" t="n"/>
      <c r="AB6" s="24" t="n"/>
      <c r="AC6" s="24" t="n"/>
      <c r="AD6" s="24" t="n"/>
      <c r="AE6" s="4" t="n"/>
      <c r="AF6" s="4" t="n"/>
    </row>
    <row r="7" ht="21.75" customHeight="1">
      <c r="A7" s="25" t="n"/>
      <c r="B7" s="25">
        <f>SUM('TAX CALCULATOR'!$Y$10:$Y$19)</f>
        <v/>
      </c>
      <c r="C7" s="25">
        <f>SUM('TAX CALCULATOR'!$Z$10:$Z$19)</f>
        <v/>
      </c>
      <c r="D7" s="25">
        <f>SUM('TAX CALCULATOR'!$AC$10:$AC$19)</f>
        <v/>
      </c>
      <c r="E7" s="25">
        <f>SUM('TAX CALCULATOR'!$AD$10:$AD$19)</f>
        <v/>
      </c>
      <c r="F7" s="26" t="n"/>
      <c r="G7" s="26" t="n"/>
      <c r="H7" s="27">
        <f>F7*H4</f>
        <v/>
      </c>
      <c r="I7" s="22" t="n"/>
      <c r="J7" s="22" t="n"/>
      <c r="K7" s="23" t="n"/>
      <c r="L7" s="22" t="n"/>
      <c r="M7" s="3" t="n"/>
      <c r="N7" s="4" t="n"/>
      <c r="O7" s="4" t="n"/>
      <c r="P7" s="4" t="n"/>
      <c r="Q7" s="5" t="n"/>
      <c r="R7" s="5" t="n"/>
      <c r="S7" s="5" t="n"/>
      <c r="T7" s="16" t="n"/>
      <c r="U7" s="16" t="n"/>
      <c r="V7" s="4" t="n"/>
      <c r="W7" s="4" t="n"/>
      <c r="X7" s="4" t="n"/>
      <c r="Y7" s="4" t="n"/>
      <c r="Z7" s="4" t="n"/>
      <c r="AA7" s="24" t="n"/>
      <c r="AB7" s="24" t="n"/>
      <c r="AC7" s="24" t="n"/>
      <c r="AD7" s="24" t="n"/>
      <c r="AE7" s="4" t="n"/>
      <c r="AF7" s="4" t="n"/>
    </row>
    <row r="8">
      <c r="A8" s="28" t="n"/>
      <c r="B8" s="28" t="n"/>
      <c r="C8" s="28" t="n"/>
      <c r="D8" s="28" t="n"/>
      <c r="E8" s="28" t="n"/>
      <c r="F8" s="20" t="n"/>
      <c r="G8" s="20" t="n"/>
      <c r="H8" s="29" t="n"/>
      <c r="I8" s="30" t="n"/>
      <c r="J8" s="30" t="n"/>
      <c r="K8" s="31" t="n"/>
      <c r="L8" s="30" t="n"/>
      <c r="M8" s="32" t="n"/>
      <c r="N8" s="33" t="n"/>
      <c r="O8" s="33" t="n"/>
      <c r="P8" s="33" t="n"/>
      <c r="Q8" s="34" t="n"/>
      <c r="R8" s="34" t="n"/>
      <c r="S8" s="34" t="n"/>
      <c r="T8" s="35" t="n"/>
      <c r="U8" s="35" t="n"/>
      <c r="V8" s="33" t="n"/>
      <c r="W8" s="33" t="n"/>
      <c r="X8" s="33" t="n"/>
      <c r="Y8" s="33" t="n"/>
      <c r="Z8" s="33" t="n"/>
      <c r="AA8" s="36" t="inlineStr">
        <is>
          <t>KKDF</t>
        </is>
      </c>
      <c r="AB8" s="36" t="inlineStr">
        <is>
          <t>WITHOUT KKDF</t>
        </is>
      </c>
      <c r="AC8" s="36" t="inlineStr">
        <is>
          <t>KKDF</t>
        </is>
      </c>
      <c r="AD8" s="36" t="inlineStr">
        <is>
          <t>WITHOUT KKDF</t>
        </is>
      </c>
      <c r="AE8" s="33" t="n"/>
      <c r="AF8" s="33" t="n"/>
    </row>
    <row r="9" ht="13.9" customHeight="1">
      <c r="A9" s="37" t="inlineStr">
        <is>
          <t>HTS Codes</t>
        </is>
      </c>
      <c r="B9" s="37" t="inlineStr">
        <is>
          <t>Country of Origin</t>
        </is>
      </c>
      <c r="C9" s="37" t="inlineStr">
        <is>
          <t>Style</t>
        </is>
      </c>
      <c r="D9" s="37" t="inlineStr">
        <is>
          <t>Color</t>
        </is>
      </c>
      <c r="E9" s="37" t="inlineStr">
        <is>
          <t>Category</t>
        </is>
      </c>
      <c r="F9" s="37" t="inlineStr">
        <is>
          <t>description</t>
        </is>
      </c>
      <c r="G9" s="38" t="inlineStr">
        <is>
          <t>Fabric Content</t>
        </is>
      </c>
      <c r="H9" s="39" t="inlineStr">
        <is>
          <t>Cost</t>
        </is>
      </c>
      <c r="I9" s="40" t="inlineStr">
        <is>
          <t>Unit</t>
        </is>
      </c>
      <c r="J9" s="41" t="inlineStr">
        <is>
          <t>Total Value</t>
        </is>
      </c>
      <c r="K9" s="42" t="inlineStr">
        <is>
          <t>TR HS CODE</t>
        </is>
      </c>
      <c r="L9" s="43" t="inlineStr">
        <is>
          <t>EX REGISTRY FORM</t>
        </is>
      </c>
      <c r="M9" s="43" t="inlineStr">
        <is>
          <t>AZO DYE TEST</t>
        </is>
      </c>
      <c r="N9" s="43" t="inlineStr">
        <is>
          <t>SPECIAL CUSTOMS</t>
        </is>
      </c>
      <c r="O9" s="44" t="inlineStr">
        <is>
          <t>TRANSPORT</t>
        </is>
      </c>
      <c r="P9" s="44" t="inlineStr">
        <is>
          <t>INSURANCE</t>
        </is>
      </c>
      <c r="Q9" s="45" t="inlineStr">
        <is>
          <t>STORAGE</t>
        </is>
      </c>
      <c r="R9" s="43" t="inlineStr">
        <is>
          <t>CUSTOMS TAX %</t>
        </is>
      </c>
      <c r="S9" s="43" t="inlineStr">
        <is>
          <t>ADDITIONAL CUSTOMS TAX %</t>
        </is>
      </c>
      <c r="T9" s="43" t="inlineStr">
        <is>
          <t>KKDF %</t>
        </is>
      </c>
      <c r="U9" s="43" t="inlineStr">
        <is>
          <t>VAT %</t>
        </is>
      </c>
      <c r="V9" s="43" t="inlineStr">
        <is>
          <t>TOTAL CUSTOMS TAX</t>
        </is>
      </c>
      <c r="W9" s="43" t="inlineStr">
        <is>
          <t>TOTAL ADDT CUSTOMS TAX</t>
        </is>
      </c>
      <c r="X9" s="43" t="inlineStr">
        <is>
          <t>KKDF VALUE</t>
        </is>
      </c>
      <c r="Y9" s="43" t="inlineStr">
        <is>
          <t>VAT VALUE</t>
        </is>
      </c>
      <c r="Z9" s="43" t="inlineStr">
        <is>
          <t>VAT VALUE2</t>
        </is>
      </c>
      <c r="AA9" s="43" t="inlineStr">
        <is>
          <t>VAT USD</t>
        </is>
      </c>
      <c r="AB9" s="43" t="inlineStr">
        <is>
          <t>VAT USD3</t>
        </is>
      </c>
      <c r="AC9" s="46" t="inlineStr">
        <is>
          <t xml:space="preserve">TOTAL TAX WITHOUT BANK ID </t>
        </is>
      </c>
      <c r="AD9" s="47" t="inlineStr">
        <is>
          <t xml:space="preserve">TOTAL TAX WITH BANK ID </t>
        </is>
      </c>
      <c r="AE9" s="48" t="inlineStr">
        <is>
          <t>TR DESC</t>
        </is>
      </c>
      <c r="AF9" s="6" t="inlineStr">
        <is>
          <t>QTY</t>
        </is>
      </c>
    </row>
    <row r="10" ht="15" customHeight="1">
      <c r="A10" s="49" t="n"/>
      <c r="B10" s="49" t="n"/>
      <c r="C10" s="50" t="n"/>
      <c r="D10" s="51" t="n"/>
      <c r="E10" s="49" t="n"/>
      <c r="F10" s="49" t="n"/>
      <c r="G10" s="52" t="n"/>
      <c r="H10" s="53" t="n"/>
      <c r="I10" s="54" t="n"/>
      <c r="J10" s="55" t="n"/>
      <c r="K10" s="56">
        <f t="array" ref="K10:K19">IFERROR(VLOOKUP(C10:C19,'[1]ALL PRODUCTS'!B2:L20000,11,FALSE),"")</f>
        <v/>
      </c>
      <c r="L10" s="56">
        <f t="array" ref="L10:L19">IFERROR(VLOOKUP(_xlfn.ANCHORARRAY(K10),'[1]HS CODE TAX REQ LIST'!A2:H125,2,FALSE)," ")</f>
        <v/>
      </c>
      <c r="M10" s="56">
        <f t="array" ref="M10:M19">IFERROR(VLOOKUP(_xlfn.ANCHORARRAY(K10),'[1]HS CODE TAX REQ LIST'!A2:H125,3,FALSE),"")</f>
        <v/>
      </c>
      <c r="N10" s="58">
        <f t="array" ref="N10:N19">IFERROR(VLOOKUP(_xlfn.ANCHORARRAY(K10),'[1]HS CODE TAX REQ LIST'!A2:H125,8,FALSE),"")</f>
        <v/>
      </c>
      <c r="O10" s="59" t="n"/>
      <c r="P10" s="59" t="n"/>
      <c r="Q10" s="60" t="n"/>
      <c r="R10" s="61" t="n"/>
      <c r="S10" s="62" t="n"/>
      <c r="T10" s="62" t="n"/>
      <c r="U10" s="62" t="n"/>
      <c r="V10" s="63" t="n"/>
      <c r="W10" s="63" t="n"/>
      <c r="X10" s="63" t="n"/>
      <c r="Y10" s="63">
        <f>IFERROR((J10+O10+P10+Q10+V10+W10+X10),"")</f>
        <v/>
      </c>
      <c r="Z10" s="63">
        <f>IFERROR((J10+O10+P10+Q10+V10+W10),"")</f>
        <v/>
      </c>
      <c r="AA10" s="63">
        <f>IFERROR((Y10*U10),"")</f>
        <v/>
      </c>
      <c r="AB10" s="63">
        <f>IFERROR((Z10*U10),"")</f>
        <v/>
      </c>
      <c r="AC10" s="63">
        <f>IFERROR((V10+W10+X10+AA10),"")</f>
        <v/>
      </c>
      <c r="AD10" s="64">
        <f>IFERROR((V10+W10+AA10),"")</f>
        <v/>
      </c>
      <c r="AE10" s="6">
        <f t="array" ref="AE10:AE19">IFERROR(VLOOKUP(_xlfn.ANCHORARRAY(K10),'[1]HS CODE TAX REQ LIST'!A2:I125,9,FALSE)," ")</f>
        <v/>
      </c>
      <c r="AF10" s="6">
        <f t="array" ref="AF10:AF19">IFERROR(VLOOKUP(_xlfn.ANCHORARRAY(K10),'[1]HS CODE TAX REQ LIST'!A2:J125,10,FALSE)," ")</f>
        <v/>
      </c>
    </row>
    <row r="11" ht="15" customHeight="1">
      <c r="A11" s="65" t="n"/>
      <c r="B11" s="65" t="n"/>
      <c r="C11" s="66" t="n"/>
      <c r="D11" s="67" t="n"/>
      <c r="E11" s="65" t="n"/>
      <c r="F11" s="65" t="n"/>
      <c r="G11" s="68" t="n"/>
      <c r="H11" s="69" t="n"/>
      <c r="I11" s="70" t="n"/>
      <c r="J11" s="71" t="n"/>
      <c r="K11" s="57" t="str"/>
      <c r="L11" s="57" t="inlineStr">
        <is>
          <t> </t>
        </is>
      </c>
      <c r="M11" s="57" t="str"/>
      <c r="N11" s="57" t="str"/>
      <c r="O11" s="72" t="n"/>
      <c r="P11" s="72" t="n"/>
      <c r="Q11" s="72" t="n"/>
      <c r="R11" s="73" t="n"/>
      <c r="S11" s="74" t="n"/>
      <c r="T11" s="74" t="n"/>
      <c r="U11" s="74" t="n"/>
      <c r="V11" s="72" t="n"/>
      <c r="W11" s="72" t="n"/>
      <c r="X11" s="72" t="n"/>
      <c r="Y11" s="72">
        <f>IFERROR((J11+O11+P11+Q11+V11+W11+X11),"")</f>
        <v/>
      </c>
      <c r="Z11" s="72">
        <f>IFERROR((J11+O11+P11+Q11+V11+W11),"")</f>
        <v/>
      </c>
      <c r="AA11" s="72">
        <f>IFERROR((Y11*U11),"")</f>
        <v/>
      </c>
      <c r="AB11" s="72">
        <f>IFERROR((Z11*U11),"")</f>
        <v/>
      </c>
      <c r="AC11" s="72">
        <f>IFERROR((V11+W11+X11+AA11),"")</f>
        <v/>
      </c>
      <c r="AD11" s="75">
        <f>IFERROR((V11+W11+AA11),"")</f>
        <v/>
      </c>
      <c r="AE11" s="6" t="inlineStr">
        <is>
          <t> </t>
        </is>
      </c>
      <c r="AF11" s="6" t="inlineStr">
        <is>
          <t> </t>
        </is>
      </c>
    </row>
    <row r="12" ht="15" customHeight="1">
      <c r="A12" s="49" t="n"/>
      <c r="B12" s="49" t="n"/>
      <c r="C12" s="50" t="n"/>
      <c r="D12" s="51" t="n"/>
      <c r="E12" s="49" t="n"/>
      <c r="F12" s="49" t="n"/>
      <c r="G12" s="52" t="n"/>
      <c r="H12" s="76" t="n"/>
      <c r="I12" s="77" t="n"/>
      <c r="J12" s="78" t="n"/>
      <c r="K12" s="58" t="str"/>
      <c r="L12" s="58" t="inlineStr">
        <is>
          <t> </t>
        </is>
      </c>
      <c r="M12" s="58" t="str"/>
      <c r="N12" s="58" t="str"/>
      <c r="O12" s="59" t="n"/>
      <c r="P12" s="59" t="n"/>
      <c r="Q12" s="59" t="n"/>
      <c r="R12" s="79" t="n"/>
      <c r="S12" s="80" t="n"/>
      <c r="T12" s="80" t="n"/>
      <c r="U12" s="80" t="n"/>
      <c r="V12" s="59" t="n"/>
      <c r="W12" s="59" t="n"/>
      <c r="X12" s="59" t="n"/>
      <c r="Y12" s="59">
        <f>IFERROR((J12+O12+P12+Q12+V12+W12+X12),"")</f>
        <v/>
      </c>
      <c r="Z12" s="59">
        <f>IFERROR((J12+O12+P12+Q12+V12+W12),"")</f>
        <v/>
      </c>
      <c r="AA12" s="59">
        <f>IFERROR((Y12*U12),"")</f>
        <v/>
      </c>
      <c r="AB12" s="59">
        <f>IFERROR((Z12*U12),"")</f>
        <v/>
      </c>
      <c r="AC12" s="59">
        <f>IFERROR((V12+W12+X12+AA12),"")</f>
        <v/>
      </c>
      <c r="AD12" s="81">
        <f>IFERROR((V12+W12+AA12),"")</f>
        <v/>
      </c>
      <c r="AE12" s="6" t="inlineStr">
        <is>
          <t> </t>
        </is>
      </c>
      <c r="AF12" s="6" t="inlineStr">
        <is>
          <t> </t>
        </is>
      </c>
    </row>
    <row r="13" ht="15" customHeight="1">
      <c r="A13" s="65" t="n"/>
      <c r="B13" s="65" t="n"/>
      <c r="C13" s="66" t="n"/>
      <c r="D13" s="67" t="n"/>
      <c r="E13" s="65" t="n"/>
      <c r="F13" s="65" t="n"/>
      <c r="G13" s="68" t="n"/>
      <c r="H13" s="69" t="n"/>
      <c r="I13" s="70" t="n"/>
      <c r="J13" s="71" t="n"/>
      <c r="K13" s="57" t="str"/>
      <c r="L13" s="57" t="inlineStr">
        <is>
          <t> </t>
        </is>
      </c>
      <c r="M13" s="57" t="str"/>
      <c r="N13" s="57" t="str"/>
      <c r="O13" s="72" t="n"/>
      <c r="P13" s="72" t="n"/>
      <c r="Q13" s="72" t="n"/>
      <c r="R13" s="73" t="n"/>
      <c r="S13" s="74" t="n"/>
      <c r="T13" s="74" t="n"/>
      <c r="U13" s="74" t="n"/>
      <c r="V13" s="72" t="n"/>
      <c r="W13" s="72" t="n"/>
      <c r="X13" s="72" t="n"/>
      <c r="Y13" s="72">
        <f>IFERROR((J13+O13+P13+Q13+V13+W13+X13),"")</f>
        <v/>
      </c>
      <c r="Z13" s="72">
        <f>IFERROR((J13+O13+P13+Q13+V13+W13),"")</f>
        <v/>
      </c>
      <c r="AA13" s="72">
        <f>IFERROR((Y13*U13),"")</f>
        <v/>
      </c>
      <c r="AB13" s="72">
        <f>IFERROR((Z13*U13),"")</f>
        <v/>
      </c>
      <c r="AC13" s="72">
        <f>IFERROR((V13+W13+X13+AA13),"")</f>
        <v/>
      </c>
      <c r="AD13" s="75">
        <f>IFERROR((V13+W13+AA13),"")</f>
        <v/>
      </c>
      <c r="AE13" s="6" t="inlineStr">
        <is>
          <t> </t>
        </is>
      </c>
      <c r="AF13" s="6" t="inlineStr">
        <is>
          <t> </t>
        </is>
      </c>
    </row>
    <row r="14" ht="14.25" customHeight="1">
      <c r="A14" s="49" t="n"/>
      <c r="B14" s="49" t="n"/>
      <c r="C14" s="50" t="n"/>
      <c r="D14" s="51" t="n"/>
      <c r="E14" s="49" t="n"/>
      <c r="F14" s="49" t="n"/>
      <c r="G14" s="82" t="n"/>
      <c r="H14" s="76" t="n"/>
      <c r="I14" s="77" t="n"/>
      <c r="J14" s="78" t="n"/>
      <c r="K14" s="58" t="str"/>
      <c r="L14" s="58" t="inlineStr">
        <is>
          <t> </t>
        </is>
      </c>
      <c r="M14" s="58" t="str"/>
      <c r="N14" s="58" t="str"/>
      <c r="O14" s="59" t="n"/>
      <c r="P14" s="59" t="n"/>
      <c r="Q14" s="59" t="n"/>
      <c r="R14" s="79" t="n"/>
      <c r="S14" s="80" t="n"/>
      <c r="T14" s="80" t="n"/>
      <c r="U14" s="80" t="n"/>
      <c r="V14" s="59" t="n"/>
      <c r="W14" s="59" t="n"/>
      <c r="X14" s="59" t="n"/>
      <c r="Y14" s="59">
        <f>IFERROR((J14+O14+P14+Q14+V14+W14+X14),"")</f>
        <v/>
      </c>
      <c r="Z14" s="59">
        <f>IFERROR((J14+O14+P14+Q14+V14+W14),"")</f>
        <v/>
      </c>
      <c r="AA14" s="59">
        <f>IFERROR((Y14*U14),"")</f>
        <v/>
      </c>
      <c r="AB14" s="59">
        <f>IFERROR((Z14*U14),"")</f>
        <v/>
      </c>
      <c r="AC14" s="59">
        <f>IFERROR((V14+W14+X14+AA14),"")</f>
        <v/>
      </c>
      <c r="AD14" s="81">
        <f>IFERROR((V14+W14+AA14),"")</f>
        <v/>
      </c>
      <c r="AE14" s="6" t="inlineStr">
        <is>
          <t> </t>
        </is>
      </c>
      <c r="AF14" s="6" t="inlineStr">
        <is>
          <t> </t>
        </is>
      </c>
    </row>
    <row r="15" ht="15" customHeight="1">
      <c r="A15" s="65" t="n"/>
      <c r="B15" s="65" t="n"/>
      <c r="C15" s="66" t="n"/>
      <c r="D15" s="67" t="n"/>
      <c r="E15" s="65" t="n"/>
      <c r="F15" s="65" t="n"/>
      <c r="G15" s="68" t="n"/>
      <c r="H15" s="69" t="n"/>
      <c r="I15" s="70" t="n"/>
      <c r="J15" s="71" t="n"/>
      <c r="K15" s="57" t="str"/>
      <c r="L15" s="57" t="inlineStr">
        <is>
          <t> </t>
        </is>
      </c>
      <c r="M15" s="57" t="str"/>
      <c r="N15" s="57" t="str"/>
      <c r="O15" s="72" t="n"/>
      <c r="P15" s="72" t="n"/>
      <c r="Q15" s="72" t="n"/>
      <c r="R15" s="73" t="n"/>
      <c r="S15" s="74" t="n"/>
      <c r="T15" s="74" t="n"/>
      <c r="U15" s="74" t="n"/>
      <c r="V15" s="72" t="n"/>
      <c r="W15" s="72" t="n"/>
      <c r="X15" s="72" t="n"/>
      <c r="Y15" s="72">
        <f>IFERROR((J15+O15+P15+Q15+V15+W15+X15),"")</f>
        <v/>
      </c>
      <c r="Z15" s="72">
        <f>IFERROR((J15+O15+P15+Q15+V15+W15),"")</f>
        <v/>
      </c>
      <c r="AA15" s="72">
        <f>IFERROR((Y15*U15),"")</f>
        <v/>
      </c>
      <c r="AB15" s="72">
        <f>IFERROR((Z15*U15),"")</f>
        <v/>
      </c>
      <c r="AC15" s="72">
        <f>IFERROR((V15+W15+X15+AA15),"")</f>
        <v/>
      </c>
      <c r="AD15" s="75">
        <f>IFERROR((V15+W15+AA15),"")</f>
        <v/>
      </c>
      <c r="AE15" s="6" t="inlineStr">
        <is>
          <t> </t>
        </is>
      </c>
      <c r="AF15" s="6" t="inlineStr">
        <is>
          <t> </t>
        </is>
      </c>
    </row>
    <row r="16" ht="15" customHeight="1">
      <c r="A16" s="49" t="n"/>
      <c r="B16" s="49" t="n"/>
      <c r="C16" s="50" t="n"/>
      <c r="D16" s="51" t="n"/>
      <c r="E16" s="49" t="n"/>
      <c r="F16" s="49" t="n"/>
      <c r="G16" s="52" t="n"/>
      <c r="H16" s="76" t="n"/>
      <c r="I16" s="77" t="n"/>
      <c r="J16" s="78" t="n"/>
      <c r="K16" s="58" t="str"/>
      <c r="L16" s="58" t="inlineStr">
        <is>
          <t> </t>
        </is>
      </c>
      <c r="M16" s="58" t="str"/>
      <c r="N16" s="58" t="str"/>
      <c r="O16" s="59" t="n"/>
      <c r="P16" s="59" t="n"/>
      <c r="Q16" s="59" t="n"/>
      <c r="R16" s="79" t="n"/>
      <c r="S16" s="80" t="n"/>
      <c r="T16" s="80" t="n"/>
      <c r="U16" s="80" t="n"/>
      <c r="V16" s="59" t="n"/>
      <c r="W16" s="59" t="n"/>
      <c r="X16" s="59" t="n"/>
      <c r="Y16" s="59">
        <f>IFERROR((J16+O16+P16+Q16+V16+W16+X16),"")</f>
        <v/>
      </c>
      <c r="Z16" s="59">
        <f>IFERROR((J16+O16+P16+Q16+V16+W16),"")</f>
        <v/>
      </c>
      <c r="AA16" s="59">
        <f>IFERROR((Y16*U16),"")</f>
        <v/>
      </c>
      <c r="AB16" s="59">
        <f>IFERROR((Z16*U16),"")</f>
        <v/>
      </c>
      <c r="AC16" s="59">
        <f>IFERROR((V16+W16+X16+AA16),"")</f>
        <v/>
      </c>
      <c r="AD16" s="81">
        <f>IFERROR((V16+W16+AA16),"")</f>
        <v/>
      </c>
      <c r="AE16" s="6" t="inlineStr">
        <is>
          <t> </t>
        </is>
      </c>
      <c r="AF16" s="6" t="inlineStr">
        <is>
          <t> </t>
        </is>
      </c>
    </row>
    <row r="17" ht="15" customHeight="1">
      <c r="A17" s="65" t="n"/>
      <c r="B17" s="65" t="n"/>
      <c r="C17" s="66" t="n"/>
      <c r="D17" s="67" t="n"/>
      <c r="E17" s="65" t="n"/>
      <c r="F17" s="65" t="n"/>
      <c r="G17" s="68" t="n"/>
      <c r="H17" s="69" t="n"/>
      <c r="I17" s="70" t="n"/>
      <c r="J17" s="71" t="n"/>
      <c r="K17" s="57" t="str"/>
      <c r="L17" s="57" t="inlineStr">
        <is>
          <t> </t>
        </is>
      </c>
      <c r="M17" s="57" t="str"/>
      <c r="N17" s="57" t="str"/>
      <c r="O17" s="72" t="n"/>
      <c r="P17" s="72" t="n"/>
      <c r="Q17" s="72" t="n"/>
      <c r="R17" s="73" t="n"/>
      <c r="S17" s="74" t="n"/>
      <c r="T17" s="74" t="n"/>
      <c r="U17" s="74" t="n"/>
      <c r="V17" s="72" t="n"/>
      <c r="W17" s="72" t="n"/>
      <c r="X17" s="72" t="n"/>
      <c r="Y17" s="72">
        <f>IFERROR((J17+O17+P17+Q17+V17+W17+X17),"")</f>
        <v/>
      </c>
      <c r="Z17" s="72">
        <f>IFERROR((J17+O17+P17+Q17+V17+W17),"")</f>
        <v/>
      </c>
      <c r="AA17" s="72">
        <f>IFERROR((Y17*U17),"")</f>
        <v/>
      </c>
      <c r="AB17" s="72">
        <f>IFERROR((Z17*U17),"")</f>
        <v/>
      </c>
      <c r="AC17" s="72">
        <f>IFERROR((V17+W17+X17+AA17),"")</f>
        <v/>
      </c>
      <c r="AD17" s="75">
        <f>IFERROR((V17+W17+AA17),"")</f>
        <v/>
      </c>
      <c r="AE17" s="6" t="inlineStr">
        <is>
          <t> </t>
        </is>
      </c>
      <c r="AF17" s="6" t="inlineStr">
        <is>
          <t> </t>
        </is>
      </c>
    </row>
    <row r="18" ht="15" customHeight="1">
      <c r="A18" s="49" t="n"/>
      <c r="B18" s="49" t="n"/>
      <c r="C18" s="50" t="n"/>
      <c r="D18" s="51" t="n"/>
      <c r="E18" s="49" t="n"/>
      <c r="F18" s="49" t="n"/>
      <c r="G18" s="52" t="n"/>
      <c r="H18" s="76" t="n"/>
      <c r="I18" s="77" t="n"/>
      <c r="J18" s="78" t="n"/>
      <c r="K18" s="58" t="str"/>
      <c r="L18" s="58" t="inlineStr">
        <is>
          <t> </t>
        </is>
      </c>
      <c r="M18" s="58" t="str"/>
      <c r="N18" s="58" t="str"/>
      <c r="O18" s="59" t="n"/>
      <c r="P18" s="59" t="n"/>
      <c r="Q18" s="59" t="n"/>
      <c r="R18" s="79" t="n"/>
      <c r="S18" s="80" t="n"/>
      <c r="T18" s="80" t="n"/>
      <c r="U18" s="80" t="n"/>
      <c r="V18" s="59" t="n"/>
      <c r="W18" s="59" t="n"/>
      <c r="X18" s="59" t="n"/>
      <c r="Y18" s="59">
        <f>IFERROR((J18+O18+P18+Q18+V18+W18+X18),"")</f>
        <v/>
      </c>
      <c r="Z18" s="59">
        <f>IFERROR((J18+O18+P18+Q18+V18+W18),"")</f>
        <v/>
      </c>
      <c r="AA18" s="59">
        <f>IFERROR((Y18*U18),"")</f>
        <v/>
      </c>
      <c r="AB18" s="59">
        <f>IFERROR((Z18*U18),"")</f>
        <v/>
      </c>
      <c r="AC18" s="59">
        <f>IFERROR((V18+W18+X18+AA18),"")</f>
        <v/>
      </c>
      <c r="AD18" s="81">
        <f>IFERROR((V18+W18+AA18),"")</f>
        <v/>
      </c>
      <c r="AE18" s="6" t="inlineStr">
        <is>
          <t> </t>
        </is>
      </c>
      <c r="AF18" s="6" t="inlineStr">
        <is>
          <t> </t>
        </is>
      </c>
    </row>
    <row r="19" ht="15" customHeight="1">
      <c r="A19" s="65" t="n"/>
      <c r="B19" s="65" t="n"/>
      <c r="C19" s="66" t="n"/>
      <c r="D19" s="67" t="n"/>
      <c r="E19" s="65" t="n"/>
      <c r="F19" s="65" t="n"/>
      <c r="G19" s="68" t="n"/>
      <c r="H19" s="69" t="n"/>
      <c r="I19" s="70" t="n"/>
      <c r="J19" s="71" t="n"/>
      <c r="K19" s="57" t="str"/>
      <c r="L19" s="57" t="inlineStr">
        <is>
          <t> </t>
        </is>
      </c>
      <c r="M19" s="57" t="str"/>
      <c r="N19" s="57" t="str"/>
      <c r="O19" s="72" t="n"/>
      <c r="P19" s="72" t="n"/>
      <c r="Q19" s="72" t="n"/>
      <c r="R19" s="73" t="n"/>
      <c r="S19" s="74" t="n"/>
      <c r="T19" s="74" t="n"/>
      <c r="U19" s="74" t="n"/>
      <c r="V19" s="72" t="n"/>
      <c r="W19" s="72" t="n"/>
      <c r="X19" s="72" t="n"/>
      <c r="Y19" s="72">
        <f>IFERROR((J19+O19+P19+Q19+V19+W19+X19),"")</f>
        <v/>
      </c>
      <c r="Z19" s="72">
        <f>IFERROR((J19+O19+P19+Q19+V19+W19),"")</f>
        <v/>
      </c>
      <c r="AA19" s="72">
        <f>IFERROR((Y19*U19),"")</f>
        <v/>
      </c>
      <c r="AB19" s="72">
        <f>IFERROR((Z19*U19),"")</f>
        <v/>
      </c>
      <c r="AC19" s="72">
        <f>IFERROR((V19+W19+X19+AA19),"")</f>
        <v/>
      </c>
      <c r="AD19" s="75">
        <f>IFERROR((V19+W19+AA19),"")</f>
        <v/>
      </c>
      <c r="AE19" s="6" t="inlineStr">
        <is>
          <t> </t>
        </is>
      </c>
      <c r="AF19" s="6" t="inlineStr">
        <is>
          <t> </t>
        </is>
      </c>
    </row>
  </sheetData>
  <mergeCells count="14">
    <mergeCell ref="B4:B5"/>
    <mergeCell ref="C4:C5"/>
    <mergeCell ref="A4:A5"/>
    <mergeCell ref="G4:G5"/>
    <mergeCell ref="D4:D5"/>
    <mergeCell ref="E4:E5"/>
    <mergeCell ref="H4:H5"/>
    <mergeCell ref="C2:C3"/>
    <mergeCell ref="A1:I1"/>
    <mergeCell ref="A2:A3"/>
    <mergeCell ref="B2:B3"/>
    <mergeCell ref="D2:D3"/>
    <mergeCell ref="G2:G3"/>
    <mergeCell ref="E2:E3"/>
  </mergeCells>
  <conditionalFormatting sqref="L10:N6000">
    <cfRule type="containsText" priority="1" operator="containsText" dxfId="0" text="X">
      <formula>NOT(ISERROR(SEARCH("X",L10)))</formula>
    </cfRule>
  </conditionalFormatting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Cem Yıldırım</dc:creator>
  <dcterms:created xsi:type="dcterms:W3CDTF">2025-11-15T05:31:47Z</dcterms:created>
  <dcterms:modified xsi:type="dcterms:W3CDTF">2025-11-16T20:33:59Z</dcterms:modified>
  <cp:lastModifiedBy>Cem Yıldırım</cp:lastModifiedBy>
</cp:coreProperties>
</file>