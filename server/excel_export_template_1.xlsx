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TAX CALCULATOR" sheetId="1" state="visible" r:id="rId1"/>
  </sheets>
  <externalReferences>
    <externalReference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[$$-409]#,##0.00"/>
    <numFmt numFmtId="165" formatCode="#,##0.00\ [$€-410]"/>
    <numFmt numFmtId="166" formatCode="&quot;₺&quot;#,##0.00"/>
    <numFmt numFmtId="167" formatCode="&quot;$&quot;* #,###,##0.00"/>
  </numFmts>
  <fonts count="1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20"/>
      <scheme val="minor"/>
    </font>
    <font>
      <name val="Aptos Narrow"/>
      <family val="2"/>
      <color theme="1"/>
      <sz val="9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C00000"/>
      <sz val="12"/>
      <scheme val="minor"/>
    </font>
    <font>
      <name val="Aptos Narrow"/>
      <family val="2"/>
      <b val="1"/>
      <color rgb="FFC00000"/>
      <sz val="9"/>
      <scheme val="minor"/>
    </font>
    <font>
      <name val="Aptos Narrow"/>
      <family val="2"/>
      <b val="1"/>
      <color rgb="FFC00000"/>
      <sz val="14"/>
      <u val="single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b val="1"/>
      <color rgb="FFC00000"/>
      <sz val="18"/>
      <u val="single"/>
      <scheme val="minor"/>
    </font>
    <font>
      <name val="Arial"/>
      <family val="2"/>
      <b val="1"/>
      <sz val="9"/>
    </font>
  </fonts>
  <fills count="9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theme="0" tint="-0.1499984740745262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14" fontId="3" fillId="0" borderId="0" applyAlignment="1" pivotButton="0" quotePrefix="0" xfId="0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3" fillId="0" borderId="3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164" fontId="8" fillId="3" borderId="0" applyAlignment="1" pivotButton="0" quotePrefix="0" xfId="0">
      <alignment horizontal="center" vertical="center"/>
    </xf>
    <xf numFmtId="164" fontId="8" fillId="4" borderId="0" applyAlignment="1" pivotButton="0" quotePrefix="0" xfId="0">
      <alignment horizontal="center" vertical="center"/>
    </xf>
    <xf numFmtId="166" fontId="10" fillId="5" borderId="0" applyAlignment="1" pivotButton="0" quotePrefix="0" xfId="0">
      <alignment horizontal="center" vertical="center"/>
    </xf>
    <xf numFmtId="164" fontId="7" fillId="3" borderId="0" pivotButton="0" quotePrefix="0" xfId="0"/>
    <xf numFmtId="0" fontId="7" fillId="5" borderId="0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/>
    </xf>
    <xf numFmtId="0" fontId="2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 wrapText="1"/>
    </xf>
    <xf numFmtId="0" fontId="9" fillId="0" borderId="5" applyAlignment="1" pivotButton="0" quotePrefix="0" xfId="0">
      <alignment horizontal="center"/>
    </xf>
    <xf numFmtId="0" fontId="11" fillId="3" borderId="7" applyAlignment="1" pivotButton="0" quotePrefix="0" xfId="0">
      <alignment horizontal="center"/>
    </xf>
    <xf numFmtId="0" fontId="11" fillId="3" borderId="8" applyAlignment="1" pivotButton="0" quotePrefix="0" xfId="0">
      <alignment horizontal="center"/>
    </xf>
    <xf numFmtId="0" fontId="11" fillId="3" borderId="9" applyAlignment="1" pivotButton="0" quotePrefix="0" xfId="0">
      <alignment horizontal="center"/>
    </xf>
    <xf numFmtId="1" fontId="11" fillId="3" borderId="10" applyAlignment="1" pivotButton="0" quotePrefix="0" xfId="0">
      <alignment horizontal="center"/>
    </xf>
    <xf numFmtId="0" fontId="11" fillId="3" borderId="10" applyAlignment="1" pivotButton="0" quotePrefix="0" xfId="0">
      <alignment horizontal="center"/>
    </xf>
    <xf numFmtId="0" fontId="11" fillId="6" borderId="10" applyAlignment="1" pivotButton="0" quotePrefix="0" xfId="0">
      <alignment horizontal="center" vertical="center"/>
    </xf>
    <xf numFmtId="0" fontId="11" fillId="6" borderId="10" applyAlignment="1" pivotButton="0" quotePrefix="0" xfId="0">
      <alignment horizontal="center"/>
    </xf>
    <xf numFmtId="164" fontId="11" fillId="6" borderId="10" applyAlignment="1" pivotButton="0" quotePrefix="0" xfId="0">
      <alignment horizontal="center" vertical="center"/>
    </xf>
    <xf numFmtId="164" fontId="11" fillId="6" borderId="9" applyAlignment="1" pivotButton="0" quotePrefix="0" xfId="0">
      <alignment horizontal="center" vertical="center"/>
    </xf>
    <xf numFmtId="0" fontId="11" fillId="7" borderId="10" applyAlignment="1" pivotButton="0" quotePrefix="0" xfId="0">
      <alignment horizontal="center"/>
    </xf>
    <xf numFmtId="0" fontId="11" fillId="7" borderId="11" applyAlignment="1" pivotButton="0" quotePrefix="0" xfId="0">
      <alignment horizontal="center"/>
    </xf>
    <xf numFmtId="0" fontId="11" fillId="0" borderId="9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2" fontId="0" fillId="8" borderId="7" applyAlignment="1" pivotButton="0" quotePrefix="0" xfId="0">
      <alignment horizontal="center" vertical="center"/>
    </xf>
    <xf numFmtId="165" fontId="2" fillId="8" borderId="7" applyAlignment="1" pivotButton="0" quotePrefix="0" xfId="0">
      <alignment horizontal="center"/>
    </xf>
    <xf numFmtId="167" fontId="2" fillId="8" borderId="7" applyAlignment="1" pivotButton="0" quotePrefix="0" xfId="0">
      <alignment horizontal="center"/>
    </xf>
    <xf numFmtId="1" fontId="2" fillId="8" borderId="12" applyAlignment="1" pivotButton="0" quotePrefix="0" xfId="0">
      <alignment horizontal="center"/>
    </xf>
    <xf numFmtId="167" fontId="2" fillId="8" borderId="12" applyAlignment="1" pivotButton="0" quotePrefix="0" xfId="0">
      <alignment horizontal="center"/>
    </xf>
    <xf numFmtId="0" fontId="2" fillId="8" borderId="12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2" fillId="8" borderId="13" applyAlignment="1" pivotButton="0" quotePrefix="0" xfId="0">
      <alignment horizontal="center" vertical="center"/>
    </xf>
    <xf numFmtId="164" fontId="2" fillId="8" borderId="13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10" fontId="2" fillId="8" borderId="12" applyAlignment="1" pivotButton="0" quotePrefix="0" xfId="0">
      <alignment horizontal="center" vertical="center"/>
    </xf>
    <xf numFmtId="9" fontId="2" fillId="8" borderId="12" applyAlignment="1" pivotButton="0" quotePrefix="0" xfId="0">
      <alignment horizontal="center" vertical="center"/>
    </xf>
    <xf numFmtId="164" fontId="2" fillId="8" borderId="12" applyAlignment="1" pivotButton="0" quotePrefix="0" xfId="0">
      <alignment horizontal="center"/>
    </xf>
    <xf numFmtId="164" fontId="2" fillId="8" borderId="14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2" fontId="0" fillId="0" borderId="7" applyAlignment="1" pivotButton="0" quotePrefix="0" xfId="0">
      <alignment horizontal="center" vertical="center"/>
    </xf>
    <xf numFmtId="165" fontId="2" fillId="0" borderId="7" applyAlignment="1" pivotButton="0" quotePrefix="0" xfId="0">
      <alignment horizontal="center"/>
    </xf>
    <xf numFmtId="167" fontId="2" fillId="0" borderId="10" applyAlignment="1" pivotButton="0" quotePrefix="0" xfId="0">
      <alignment horizontal="center"/>
    </xf>
    <xf numFmtId="1" fontId="2" fillId="0" borderId="13" applyAlignment="1" pivotButton="0" quotePrefix="0" xfId="0">
      <alignment horizontal="center"/>
    </xf>
    <xf numFmtId="167" fontId="2" fillId="0" borderId="13" applyAlignment="1" pivotButton="0" quotePrefix="0" xfId="0">
      <alignment horizontal="center"/>
    </xf>
    <xf numFmtId="164" fontId="2" fillId="0" borderId="13" applyAlignment="1" pivotButton="0" quotePrefix="0" xfId="0">
      <alignment horizontal="center"/>
    </xf>
    <xf numFmtId="10" fontId="2" fillId="0" borderId="13" applyAlignment="1" pivotButton="0" quotePrefix="0" xfId="0">
      <alignment horizontal="center" vertical="center"/>
    </xf>
    <xf numFmtId="9" fontId="2" fillId="0" borderId="13" applyAlignment="1" pivotButton="0" quotePrefix="0" xfId="0">
      <alignment horizontal="center" vertical="center"/>
    </xf>
    <xf numFmtId="164" fontId="2" fillId="0" borderId="15" applyAlignment="1" pivotButton="0" quotePrefix="0" xfId="0">
      <alignment horizontal="center"/>
    </xf>
    <xf numFmtId="167" fontId="2" fillId="8" borderId="10" applyAlignment="1" pivotButton="0" quotePrefix="0" xfId="0">
      <alignment horizontal="center"/>
    </xf>
    <xf numFmtId="1" fontId="2" fillId="8" borderId="13" applyAlignment="1" pivotButton="0" quotePrefix="0" xfId="0">
      <alignment horizontal="center"/>
    </xf>
    <xf numFmtId="167" fontId="2" fillId="8" borderId="13" applyAlignment="1" pivotButton="0" quotePrefix="0" xfId="0">
      <alignment horizontal="center"/>
    </xf>
    <xf numFmtId="10" fontId="2" fillId="8" borderId="13" applyAlignment="1" pivotButton="0" quotePrefix="0" xfId="0">
      <alignment horizontal="center" vertical="center"/>
    </xf>
    <xf numFmtId="9" fontId="2" fillId="8" borderId="13" applyAlignment="1" pivotButton="0" quotePrefix="0" xfId="0">
      <alignment horizontal="center" vertical="center"/>
    </xf>
    <xf numFmtId="164" fontId="2" fillId="8" borderId="15" applyAlignment="1" pivotButton="0" quotePrefix="0" xfId="0">
      <alignment horizontal="center"/>
    </xf>
    <xf numFmtId="165" fontId="2" fillId="8" borderId="7" applyAlignment="1" pivotButton="0" quotePrefix="0" xfId="0">
      <alignment horizontal="center" wrapText="1"/>
    </xf>
    <xf numFmtId="49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2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cem\Desktop\SOHO\BELGE%20&#214;RNEKLER&#304;\Yeni%20klas&#246;r\excel%20export%20template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 (2)"/>
      <sheetName val="Sheet3"/>
      <sheetName val="TAX CALCULATOR"/>
      <sheetName val="ALL PRODUCTS"/>
      <sheetName val="HS CODE TAX REQ LIST"/>
      <sheetName val="HS CODE  DATA"/>
      <sheetName val="DECLARATION PREP"/>
      <sheetName val="EXCEL PREP"/>
      <sheetName val="Sheet2"/>
    </sheetNames>
    <sheetDataSet>
      <sheetData sheetId="0"/>
      <sheetData sheetId="1"/>
      <sheetData sheetId="2"/>
      <sheetData sheetId="3">
        <row r="2">
          <cell r="B2" t="str">
            <v>AWKNSP1007</v>
          </cell>
          <cell r="C2" t="str">
            <v>MA SWEATPANT</v>
          </cell>
          <cell r="E2" t="str">
            <v>100% WOOL</v>
          </cell>
          <cell r="F2" t="str">
            <v>IT</v>
          </cell>
          <cell r="H2">
            <v>259</v>
          </cell>
          <cell r="I2">
            <v>4</v>
          </cell>
          <cell r="J2">
            <v>1036</v>
          </cell>
          <cell r="K2">
            <v>61046100</v>
          </cell>
          <cell r="L2" t="str">
            <v>6104.61.00.00.00</v>
          </cell>
        </row>
        <row r="3">
          <cell r="B3" t="str">
            <v>AMJYTE1149</v>
          </cell>
          <cell r="C3" t="str">
            <v>AMIRI STAGGERED LOGO TEE</v>
          </cell>
          <cell r="E3" t="str">
            <v>100% COTTON</v>
          </cell>
          <cell r="F3" t="str">
            <v>IT</v>
          </cell>
          <cell r="H3">
            <v>130.9</v>
          </cell>
          <cell r="I3">
            <v>42</v>
          </cell>
          <cell r="J3">
            <v>5497.8</v>
          </cell>
          <cell r="K3">
            <v>61091000</v>
          </cell>
          <cell r="L3" t="str">
            <v>6109.10.00.00.00</v>
          </cell>
        </row>
        <row r="4">
          <cell r="B4" t="str">
            <v>AWKNCW1014</v>
          </cell>
          <cell r="C4" t="str">
            <v>MA CREW</v>
          </cell>
          <cell r="E4" t="str">
            <v>100% WOOL</v>
          </cell>
          <cell r="F4" t="str">
            <v>IT</v>
          </cell>
          <cell r="H4">
            <v>259</v>
          </cell>
          <cell r="I4">
            <v>4</v>
          </cell>
          <cell r="J4">
            <v>1036</v>
          </cell>
          <cell r="K4">
            <v>62114900</v>
          </cell>
          <cell r="L4" t="str">
            <v>6211.49.00.00.19</v>
          </cell>
        </row>
        <row r="5">
          <cell r="B5" t="str">
            <v>A0214U</v>
          </cell>
          <cell r="C5" t="str">
            <v>Accessory - Bags</v>
          </cell>
          <cell r="D5" t="str">
            <v>Black</v>
          </cell>
          <cell r="E5" t="str">
            <v>SHELL: 100%NYLON&gt;CONTRAST &amp; ...</v>
          </cell>
          <cell r="F5" t="str">
            <v>CN</v>
          </cell>
          <cell r="H5">
            <v>11.5</v>
          </cell>
          <cell r="I5">
            <v>30</v>
          </cell>
          <cell r="J5">
            <v>345</v>
          </cell>
          <cell r="K5" t="str">
            <v>4202.22.8100</v>
          </cell>
          <cell r="L5" t="str">
            <v>4202.22.90.90.00</v>
          </cell>
        </row>
        <row r="6">
          <cell r="B6" t="str">
            <v>A0214U</v>
          </cell>
          <cell r="C6" t="str">
            <v>Accessory - Bags</v>
          </cell>
          <cell r="D6" t="str">
            <v>Espresso/Black</v>
          </cell>
          <cell r="E6" t="str">
            <v>SHELL: 100%NYLON&gt;LINING: 100%...</v>
          </cell>
          <cell r="F6" t="str">
            <v>CN</v>
          </cell>
          <cell r="H6">
            <v>14.95</v>
          </cell>
          <cell r="I6">
            <v>22</v>
          </cell>
          <cell r="J6">
            <v>328.9</v>
          </cell>
          <cell r="K6" t="str">
            <v>4202.22.8100</v>
          </cell>
          <cell r="L6" t="str">
            <v>4202.22.90.90.00</v>
          </cell>
        </row>
        <row r="7">
          <cell r="B7" t="str">
            <v>W7066R</v>
          </cell>
          <cell r="C7" t="str">
            <v>Accessory - Bags</v>
          </cell>
          <cell r="D7" t="str">
            <v>Grey Tiedye</v>
          </cell>
          <cell r="E7" t="str">
            <v>100%COTTON</v>
          </cell>
          <cell r="F7" t="str">
            <v>VN</v>
          </cell>
          <cell r="H7">
            <v>2.9</v>
          </cell>
          <cell r="I7">
            <v>2800</v>
          </cell>
          <cell r="J7">
            <v>8120</v>
          </cell>
          <cell r="K7" t="str">
            <v>4202.92.1500</v>
          </cell>
          <cell r="L7" t="str">
            <v>4202.92.15.00.00</v>
          </cell>
        </row>
        <row r="8">
          <cell r="B8" t="str">
            <v>A0481U</v>
          </cell>
          <cell r="C8" t="str">
            <v>Accessory - Bags</v>
          </cell>
          <cell r="D8" t="str">
            <v>Black/Silver</v>
          </cell>
          <cell r="F8" t="str">
            <v>CN</v>
          </cell>
          <cell r="H8">
            <v>19.48</v>
          </cell>
          <cell r="I8">
            <v>40</v>
          </cell>
          <cell r="J8">
            <v>779.2</v>
          </cell>
          <cell r="K8" t="str">
            <v>4202.92.3120</v>
          </cell>
          <cell r="L8" t="str">
            <v>4202.92.98.90.00</v>
          </cell>
        </row>
        <row r="9">
          <cell r="B9" t="str">
            <v>A0481U</v>
          </cell>
          <cell r="C9" t="str">
            <v>Accessory - Bags</v>
          </cell>
          <cell r="D9" t="str">
            <v>Black/Silver</v>
          </cell>
          <cell r="E9" t="str"/>
          <cell r="F9" t="str">
            <v>CN</v>
          </cell>
          <cell r="H9">
            <v>19.48</v>
          </cell>
          <cell r="I9">
            <v>14</v>
          </cell>
          <cell r="J9">
            <v>272.72000000000003</v>
          </cell>
          <cell r="K9" t="str">
            <v>4202.92.3120</v>
          </cell>
          <cell r="L9" t="str">
            <v>4202.92.98.90.00</v>
          </cell>
        </row>
        <row r="10">
          <cell r="B10" t="str">
            <v>A0158U</v>
          </cell>
          <cell r="C10" t="str">
            <v>Accessory - Bags</v>
          </cell>
          <cell r="D10" t="str">
            <v>Black</v>
          </cell>
          <cell r="E10" t="str">
            <v>SHELL: 100%NYLON&gt;LINING: 100%...</v>
          </cell>
          <cell r="F10" t="str">
            <v>CN</v>
          </cell>
          <cell r="H10">
            <v>16.8</v>
          </cell>
          <cell r="I10">
            <v>18</v>
          </cell>
          <cell r="J10">
            <v>302.39999999999998</v>
          </cell>
          <cell r="K10" t="str">
            <v>4202.92.3131</v>
          </cell>
          <cell r="L10" t="str">
            <v>4202.92.98.90.00</v>
          </cell>
        </row>
        <row r="11">
          <cell r="B11" t="str">
            <v>A0366U</v>
          </cell>
          <cell r="C11" t="str">
            <v>Accessory - Bags</v>
          </cell>
          <cell r="D11" t="str">
            <v>Black/Silver</v>
          </cell>
          <cell r="E11" t="str">
            <v>FACE: 100%POLYESTER&gt;BACK: 10...</v>
          </cell>
          <cell r="F11" t="str">
            <v>CN</v>
          </cell>
          <cell r="H11">
            <v>28.8</v>
          </cell>
          <cell r="I11">
            <v>50</v>
          </cell>
          <cell r="J11">
            <v>1440</v>
          </cell>
          <cell r="K11" t="str">
            <v>4202.92.3131</v>
          </cell>
          <cell r="L11" t="str">
            <v>4202.92.98.90.00</v>
          </cell>
        </row>
        <row r="12">
          <cell r="B12" t="str">
            <v>A0367U</v>
          </cell>
          <cell r="C12" t="str">
            <v>Accessory - Bags</v>
          </cell>
          <cell r="D12" t="str">
            <v>Black/Silver</v>
          </cell>
          <cell r="E12" t="str">
            <v>SHELL: 100% POLYESTER&gt;LINING: ...</v>
          </cell>
          <cell r="F12" t="str">
            <v>CN</v>
          </cell>
          <cell r="H12">
            <v>32.26</v>
          </cell>
          <cell r="I12">
            <v>40</v>
          </cell>
          <cell r="J12">
            <v>1290.4000000000001</v>
          </cell>
          <cell r="K12" t="str">
            <v>4202.92.3131</v>
          </cell>
          <cell r="L12" t="str">
            <v>4202.92.98.90.00</v>
          </cell>
        </row>
        <row r="13">
          <cell r="B13" t="str">
            <v>A0413U</v>
          </cell>
          <cell r="C13" t="str">
            <v>Accessory - Bags</v>
          </cell>
          <cell r="D13" t="str">
            <v>Black</v>
          </cell>
          <cell r="E13" t="str">
            <v>100%POLYESTER&gt;EXCLUSIVE OF TRIMMING</v>
          </cell>
          <cell r="F13" t="str">
            <v>CN</v>
          </cell>
          <cell r="H13">
            <v>7.9</v>
          </cell>
          <cell r="I13">
            <v>30</v>
          </cell>
          <cell r="J13">
            <v>237</v>
          </cell>
          <cell r="K13" t="str">
            <v>4202.92.3131</v>
          </cell>
          <cell r="L13" t="str">
            <v>4202.92.98.90.00</v>
          </cell>
        </row>
        <row r="14">
          <cell r="B14" t="str">
            <v>A0158U</v>
          </cell>
          <cell r="C14" t="str">
            <v>Accessory - Bags</v>
          </cell>
          <cell r="D14" t="str">
            <v>Black</v>
          </cell>
          <cell r="E14" t="str">
            <v>SHELL: 100%NYLON&gt;LINING: 100%...</v>
          </cell>
          <cell r="F14" t="str">
            <v>CN</v>
          </cell>
          <cell r="H14">
            <v>16.8</v>
          </cell>
          <cell r="I14">
            <v>16</v>
          </cell>
          <cell r="J14">
            <v>268.8</v>
          </cell>
          <cell r="K14" t="str">
            <v>4202.92.3131</v>
          </cell>
          <cell r="L14" t="str">
            <v>4202.92.98.90.00</v>
          </cell>
        </row>
        <row r="15">
          <cell r="B15" t="str">
            <v>A0366U</v>
          </cell>
          <cell r="C15" t="str">
            <v>Accessory - Bags</v>
          </cell>
          <cell r="D15" t="str">
            <v>Black/Silver</v>
          </cell>
          <cell r="E15" t="str">
            <v>FACE: 100%POLYESTER&gt;BACK: 10...</v>
          </cell>
          <cell r="F15" t="str">
            <v>CN</v>
          </cell>
          <cell r="H15">
            <v>28.8</v>
          </cell>
          <cell r="I15">
            <v>14</v>
          </cell>
          <cell r="J15">
            <v>403.2</v>
          </cell>
          <cell r="K15" t="str">
            <v>4202.92.3131</v>
          </cell>
          <cell r="L15" t="str">
            <v>4202.92.98.90.00</v>
          </cell>
        </row>
        <row r="16">
          <cell r="B16" t="str">
            <v>A0367U</v>
          </cell>
          <cell r="C16" t="str">
            <v>Accessory - Bags</v>
          </cell>
          <cell r="D16" t="str">
            <v>Black/Silver</v>
          </cell>
          <cell r="E16" t="str">
            <v>SHELL: 100% POLYESTER&gt;LINING: ...</v>
          </cell>
          <cell r="F16" t="str">
            <v>CN</v>
          </cell>
          <cell r="H16">
            <v>32.26</v>
          </cell>
          <cell r="I16">
            <v>12</v>
          </cell>
          <cell r="J16">
            <v>387.12</v>
          </cell>
          <cell r="K16" t="str">
            <v>4202.92.3131</v>
          </cell>
          <cell r="L16" t="str">
            <v>4202.92.98.90.00</v>
          </cell>
        </row>
        <row r="17">
          <cell r="B17" t="str">
            <v>A0413U</v>
          </cell>
          <cell r="C17" t="str">
            <v>Accessory - Bags</v>
          </cell>
          <cell r="D17" t="str">
            <v>Black</v>
          </cell>
          <cell r="E17" t="str">
            <v>100%POLYESTER&gt;EXCLUSIVE OF TRIMMING</v>
          </cell>
          <cell r="F17" t="str">
            <v>CN</v>
          </cell>
          <cell r="H17">
            <v>7.9</v>
          </cell>
          <cell r="I17">
            <v>7</v>
          </cell>
          <cell r="J17">
            <v>55.3</v>
          </cell>
          <cell r="K17" t="str">
            <v>4202.92.3131</v>
          </cell>
          <cell r="L17" t="str">
            <v>4202.92.98.90.00</v>
          </cell>
        </row>
        <row r="18">
          <cell r="B18" t="str">
            <v>A0417U</v>
          </cell>
          <cell r="C18" t="str">
            <v>Accessory - Bags</v>
          </cell>
          <cell r="D18" t="str">
            <v>Black</v>
          </cell>
          <cell r="E18" t="str">
            <v>FAUX FUR SHELL &amp; LINING: 100%P...</v>
          </cell>
          <cell r="F18" t="str">
            <v>CN</v>
          </cell>
          <cell r="H18">
            <v>30.3</v>
          </cell>
          <cell r="I18">
            <v>7</v>
          </cell>
          <cell r="J18">
            <v>212.1</v>
          </cell>
          <cell r="K18" t="str">
            <v>4202.92.3131</v>
          </cell>
          <cell r="L18" t="str">
            <v>4202.92.98.90.00</v>
          </cell>
        </row>
        <row r="19">
          <cell r="B19" t="str">
            <v>A0417U</v>
          </cell>
          <cell r="C19" t="str">
            <v>Accessory - Bags</v>
          </cell>
          <cell r="D19" t="str">
            <v>Ivory</v>
          </cell>
          <cell r="E19" t="str">
            <v>FAUX FUR SHELL &amp; LINING: 100%P...</v>
          </cell>
          <cell r="F19" t="str">
            <v>CN</v>
          </cell>
          <cell r="H19">
            <v>30.3</v>
          </cell>
          <cell r="I19">
            <v>7</v>
          </cell>
          <cell r="J19">
            <v>212.1</v>
          </cell>
          <cell r="K19" t="str">
            <v>4202.92.3131</v>
          </cell>
          <cell r="L19" t="str">
            <v>4202.92.98.90.00</v>
          </cell>
        </row>
        <row r="20">
          <cell r="B20" t="str">
            <v>A0417U</v>
          </cell>
          <cell r="C20" t="str">
            <v>Accessory - Bags</v>
          </cell>
          <cell r="D20" t="str">
            <v>Toasted Almond</v>
          </cell>
          <cell r="E20" t="str">
            <v>FAUX FUR SHELL &amp; LINING: 100%P...</v>
          </cell>
          <cell r="F20" t="str">
            <v>CN</v>
          </cell>
          <cell r="H20">
            <v>30.3</v>
          </cell>
          <cell r="I20">
            <v>3</v>
          </cell>
          <cell r="J20">
            <v>90.9</v>
          </cell>
          <cell r="K20" t="str">
            <v>4202.92.3131</v>
          </cell>
          <cell r="L20" t="str">
            <v>4202.92.98.90.00</v>
          </cell>
        </row>
        <row r="21">
          <cell r="B21" t="str">
            <v>A0465U</v>
          </cell>
          <cell r="C21" t="str">
            <v>Accessory - Bags</v>
          </cell>
          <cell r="D21" t="str">
            <v>Black</v>
          </cell>
          <cell r="E21" t="str">
            <v>SHELL: 100%NYLON&gt; LINING: 100%...</v>
          </cell>
          <cell r="F21" t="str">
            <v>CN</v>
          </cell>
          <cell r="H21">
            <v>12.5</v>
          </cell>
          <cell r="I21">
            <v>32</v>
          </cell>
          <cell r="J21">
            <v>400</v>
          </cell>
          <cell r="K21" t="str">
            <v>4202.92.3131</v>
          </cell>
          <cell r="L21" t="str">
            <v>4202.92.98.90.00</v>
          </cell>
        </row>
        <row r="22">
          <cell r="B22" t="str">
            <v>A0465U</v>
          </cell>
          <cell r="C22" t="str">
            <v>Accessory - Bags</v>
          </cell>
          <cell r="D22" t="str">
            <v>Ivory</v>
          </cell>
          <cell r="E22" t="str">
            <v>SHELL: 100%NYLON&gt; LINING: 100%...</v>
          </cell>
          <cell r="F22" t="str">
            <v>CN</v>
          </cell>
          <cell r="H22">
            <v>12.5</v>
          </cell>
          <cell r="I22">
            <v>32</v>
          </cell>
          <cell r="J22">
            <v>400</v>
          </cell>
          <cell r="K22" t="str">
            <v>4202.92.3131</v>
          </cell>
          <cell r="L22" t="str">
            <v>4202.92.98.90.00</v>
          </cell>
        </row>
        <row r="23">
          <cell r="B23" t="str">
            <v>A0466U</v>
          </cell>
          <cell r="C23" t="str">
            <v>Accessory - Bags</v>
          </cell>
          <cell r="D23" t="str">
            <v>Camel</v>
          </cell>
          <cell r="E23" t="str">
            <v>FAUX FUR SHELL &amp; LINING: 100%P...</v>
          </cell>
          <cell r="F23" t="str">
            <v>CN</v>
          </cell>
          <cell r="H23">
            <v>16.350000000000001</v>
          </cell>
          <cell r="I23">
            <v>8</v>
          </cell>
          <cell r="J23">
            <v>130.80000000000001</v>
          </cell>
          <cell r="K23" t="str">
            <v>4202.92.3131</v>
          </cell>
          <cell r="L23" t="str">
            <v>4202.92.98.90.00</v>
          </cell>
        </row>
        <row r="24">
          <cell r="B24" t="str">
            <v>A0568U</v>
          </cell>
          <cell r="C24" t="str">
            <v>Accessory - Bags</v>
          </cell>
          <cell r="D24" t="str">
            <v>Black/Ivory</v>
          </cell>
          <cell r="E24" t="str">
            <v>SHELL: 90%POLYESTER 10%ELAST...</v>
          </cell>
          <cell r="F24" t="str">
            <v>CN</v>
          </cell>
          <cell r="H24">
            <v>35.74</v>
          </cell>
          <cell r="I24">
            <v>6</v>
          </cell>
          <cell r="J24">
            <v>214.44</v>
          </cell>
          <cell r="K24" t="str">
            <v>4202.92.3131</v>
          </cell>
          <cell r="L24" t="str">
            <v>4202.92.98.90.00</v>
          </cell>
        </row>
        <row r="25">
          <cell r="B25" t="str">
            <v>A0616U</v>
          </cell>
          <cell r="C25" t="str">
            <v>Accessory - Bags</v>
          </cell>
          <cell r="D25" t="str">
            <v>Black</v>
          </cell>
          <cell r="E25" t="str">
            <v>SHELL: 100%NYLON&gt;LINING &amp; FILL...</v>
          </cell>
          <cell r="F25" t="str">
            <v>CN</v>
          </cell>
          <cell r="H25">
            <v>15.5</v>
          </cell>
          <cell r="I25">
            <v>4</v>
          </cell>
          <cell r="J25">
            <v>62</v>
          </cell>
          <cell r="K25" t="str">
            <v>4202.92.3131</v>
          </cell>
          <cell r="L25" t="str">
            <v>4202.92.98.90.00</v>
          </cell>
        </row>
        <row r="26">
          <cell r="B26" t="str">
            <v>A0654U</v>
          </cell>
          <cell r="C26" t="str">
            <v>Accessory - Bags</v>
          </cell>
          <cell r="D26" t="str">
            <v>Ivory</v>
          </cell>
          <cell r="E26" t="str">
            <v>FAUX SHERPA SHELL &amp; LINING: 10...</v>
          </cell>
          <cell r="F26" t="str">
            <v>CN</v>
          </cell>
          <cell r="H26">
            <v>12.95</v>
          </cell>
          <cell r="I26">
            <v>8</v>
          </cell>
          <cell r="J26">
            <v>103.6</v>
          </cell>
          <cell r="K26" t="str">
            <v>4202.92.3131</v>
          </cell>
          <cell r="L26" t="str">
            <v>4202.92.98.90.00</v>
          </cell>
        </row>
        <row r="27">
          <cell r="B27" t="str">
            <v>A0613U</v>
          </cell>
          <cell r="C27" t="str">
            <v>Accessory - Bags</v>
          </cell>
          <cell r="D27" t="str">
            <v>Black</v>
          </cell>
          <cell r="E27" t="str">
            <v>BODY: 100%NYLON&gt;STRAP: 100%P...</v>
          </cell>
          <cell r="F27" t="str">
            <v>CN</v>
          </cell>
          <cell r="H27">
            <v>14.82</v>
          </cell>
          <cell r="I27">
            <v>12</v>
          </cell>
          <cell r="J27">
            <v>177.84</v>
          </cell>
          <cell r="K27" t="str">
            <v>4202.92.3131</v>
          </cell>
          <cell r="L27" t="str">
            <v>4202.92.98.90.00</v>
          </cell>
        </row>
        <row r="28">
          <cell r="B28" t="str">
            <v>A0465U</v>
          </cell>
          <cell r="C28" t="str">
            <v>Accessory - Bags</v>
          </cell>
          <cell r="D28" t="str">
            <v>Espresso</v>
          </cell>
          <cell r="E28" t="str">
            <v>SHELL: 100%NYLON&gt; LINING: 100%...</v>
          </cell>
          <cell r="F28" t="str">
            <v>CN</v>
          </cell>
          <cell r="H28">
            <v>16.25</v>
          </cell>
          <cell r="I28">
            <v>25</v>
          </cell>
          <cell r="J28">
            <v>406.25</v>
          </cell>
          <cell r="K28" t="str">
            <v>4202.92.3131</v>
          </cell>
          <cell r="L28" t="str">
            <v>4202.92.98.90.00</v>
          </cell>
        </row>
        <row r="29">
          <cell r="B29" t="str">
            <v>A0691U</v>
          </cell>
          <cell r="C29" t="str">
            <v>Accessory - Bags</v>
          </cell>
          <cell r="D29" t="str">
            <v>Black</v>
          </cell>
          <cell r="E29" t="str">
            <v>BODY: 100%NYLON&gt;CONTRAST: 1...</v>
          </cell>
          <cell r="F29" t="str">
            <v>CN</v>
          </cell>
          <cell r="H29">
            <v>20.010000000000002</v>
          </cell>
          <cell r="I29">
            <v>4</v>
          </cell>
          <cell r="J29">
            <v>80.040000000000006</v>
          </cell>
          <cell r="K29" t="str">
            <v>4202.92.3131</v>
          </cell>
          <cell r="L29" t="str">
            <v>4202.92.98.90.00</v>
          </cell>
        </row>
        <row r="30">
          <cell r="B30" t="str">
            <v>A0653U</v>
          </cell>
          <cell r="C30" t="str">
            <v>Accessory - Bags</v>
          </cell>
          <cell r="D30" t="str">
            <v>White</v>
          </cell>
          <cell r="E30" t="str">
            <v>BODY: 100%NYLON&gt;CONTRAST: 1...</v>
          </cell>
          <cell r="F30" t="str">
            <v>CN</v>
          </cell>
          <cell r="H30">
            <v>24.31</v>
          </cell>
          <cell r="I30">
            <v>6</v>
          </cell>
          <cell r="J30">
            <v>145.86000000000001</v>
          </cell>
          <cell r="K30" t="str">
            <v>4202.92.3131</v>
          </cell>
          <cell r="L30" t="str">
            <v>4202.92.98.90.00</v>
          </cell>
        </row>
        <row r="31">
          <cell r="B31" t="str">
            <v>A0607U</v>
          </cell>
          <cell r="C31" t="str">
            <v>Accessory - Bags</v>
          </cell>
          <cell r="D31" t="str">
            <v>White</v>
          </cell>
          <cell r="E31" t="str">
            <v>BODY: 100%NYLON&gt;CONTRAST: 1...</v>
          </cell>
          <cell r="F31" t="str">
            <v>CN</v>
          </cell>
          <cell r="H31">
            <v>27.04</v>
          </cell>
          <cell r="I31">
            <v>1</v>
          </cell>
          <cell r="J31">
            <v>27.04</v>
          </cell>
          <cell r="K31" t="str">
            <v>4202.92.3131</v>
          </cell>
          <cell r="L31" t="str">
            <v>4202.92.98.90.00</v>
          </cell>
        </row>
        <row r="32">
          <cell r="B32" t="str">
            <v>A0465U</v>
          </cell>
          <cell r="C32" t="str">
            <v>Accessory - Bags</v>
          </cell>
          <cell r="D32" t="str">
            <v>Espresso</v>
          </cell>
          <cell r="E32" t="str">
            <v>SHELL: 100%NYLON&gt; LINING: 100%...</v>
          </cell>
          <cell r="F32" t="str">
            <v>CN</v>
          </cell>
          <cell r="H32">
            <v>16.25</v>
          </cell>
          <cell r="I32">
            <v>24</v>
          </cell>
          <cell r="J32">
            <v>390</v>
          </cell>
          <cell r="K32" t="str">
            <v>4202.92.3131</v>
          </cell>
          <cell r="L32" t="str">
            <v>4202.92.98.90.00</v>
          </cell>
        </row>
        <row r="33">
          <cell r="B33" t="str">
            <v>AWBGTH1011</v>
          </cell>
          <cell r="C33" t="str">
            <v>MICRO MA BAG</v>
          </cell>
          <cell r="E33" t="str">
            <v>100% LEATHER</v>
          </cell>
          <cell r="F33" t="str">
            <v>IT</v>
          </cell>
          <cell r="H33">
            <v>288.39999999999998</v>
          </cell>
          <cell r="I33">
            <v>2</v>
          </cell>
          <cell r="J33">
            <v>576.79999999999995</v>
          </cell>
          <cell r="K33" t="str">
            <v>42022100</v>
          </cell>
          <cell r="L33" t="str">
            <v>4202.21.00.00.00</v>
          </cell>
        </row>
        <row r="34">
          <cell r="B34" t="str">
            <v>AWBGTH1026</v>
          </cell>
          <cell r="C34" t="str">
            <v>MA QUAD MICRO TRIANGLE BAG</v>
          </cell>
          <cell r="E34" t="str">
            <v>100% BOVINE LEATHER, LINING: 40% POLYURETHAN 60% POLYESTER</v>
          </cell>
          <cell r="F34" t="str">
            <v>IT</v>
          </cell>
          <cell r="H34">
            <v>375.9</v>
          </cell>
          <cell r="I34">
            <v>4</v>
          </cell>
          <cell r="J34">
            <v>1503.6</v>
          </cell>
          <cell r="K34" t="str">
            <v>42022100</v>
          </cell>
          <cell r="L34" t="str">
            <v>4202.21.00.00.00</v>
          </cell>
        </row>
        <row r="35">
          <cell r="B35" t="str">
            <v>AWBGTH1028</v>
          </cell>
          <cell r="C35" t="str">
            <v>MICRO LONG MA BAG</v>
          </cell>
          <cell r="E35" t="str">
            <v>100% BOVINE LEATHER, LINING: 40% POLYURETHAN 60% POLYESTER</v>
          </cell>
          <cell r="F35" t="str">
            <v>IT</v>
          </cell>
          <cell r="H35">
            <v>317.10000000000002</v>
          </cell>
          <cell r="I35">
            <v>4</v>
          </cell>
          <cell r="J35">
            <v>1268.4000000000001</v>
          </cell>
          <cell r="K35" t="str">
            <v>42022100</v>
          </cell>
          <cell r="L35" t="str">
            <v>4202.21.00.00.00</v>
          </cell>
        </row>
        <row r="36">
          <cell r="B36" t="str">
            <v>M4144R</v>
          </cell>
          <cell r="C36" t="str">
            <v>Men's Outerwear</v>
          </cell>
          <cell r="D36" t="str">
            <v>Black</v>
          </cell>
          <cell r="E36" t="str">
            <v>BODY: 78%COTTON 22%POLYESTE...</v>
          </cell>
          <cell r="F36" t="str">
            <v>CN</v>
          </cell>
          <cell r="H36">
            <v>29.98</v>
          </cell>
          <cell r="I36">
            <v>13</v>
          </cell>
          <cell r="J36">
            <v>389.74</v>
          </cell>
          <cell r="K36" t="str">
            <v>6101.20.0010</v>
          </cell>
          <cell r="L36" t="str">
            <v>6101.20.10.00.00</v>
          </cell>
        </row>
        <row r="37">
          <cell r="B37" t="str">
            <v>AMOULW1014</v>
          </cell>
          <cell r="C37" t="str">
            <v>MA COACH JACKET</v>
          </cell>
          <cell r="E37" t="str">
            <v>100% NYLON</v>
          </cell>
          <cell r="F37" t="str">
            <v>IT</v>
          </cell>
          <cell r="H37">
            <v>404.6</v>
          </cell>
          <cell r="I37">
            <v>8</v>
          </cell>
          <cell r="J37">
            <v>3236.8</v>
          </cell>
          <cell r="K37" t="str">
            <v>61013010</v>
          </cell>
          <cell r="L37" t="str">
            <v>6101.30.10.00.00</v>
          </cell>
        </row>
        <row r="38">
          <cell r="B38" t="str">
            <v>AMOUDW1006</v>
          </cell>
          <cell r="C38" t="str">
            <v>MA QUAD JACQUARD DOWN JACKET</v>
          </cell>
          <cell r="E38" t="str">
            <v>100% POLYAMIDE</v>
          </cell>
          <cell r="F38" t="str">
            <v>RO</v>
          </cell>
          <cell r="H38">
            <v>579.6</v>
          </cell>
          <cell r="I38">
            <v>5</v>
          </cell>
          <cell r="J38">
            <v>2898</v>
          </cell>
          <cell r="K38" t="str">
            <v>61013090</v>
          </cell>
          <cell r="L38" t="str">
            <v>6101.30.90.00.00</v>
          </cell>
        </row>
        <row r="39">
          <cell r="B39" t="str">
            <v>AMOUDW1009</v>
          </cell>
          <cell r="C39" t="str">
            <v>MA QUAD DOWN JACKET</v>
          </cell>
          <cell r="E39" t="str">
            <v>100% POLYESTER</v>
          </cell>
          <cell r="F39" t="str">
            <v>RO</v>
          </cell>
          <cell r="H39">
            <v>434</v>
          </cell>
          <cell r="I39">
            <v>5</v>
          </cell>
          <cell r="J39">
            <v>2170</v>
          </cell>
          <cell r="K39" t="str">
            <v>61013090</v>
          </cell>
          <cell r="L39" t="str">
            <v>6101.30.90.00.00</v>
          </cell>
        </row>
        <row r="40">
          <cell r="B40" t="str">
            <v>AMOUBB1024</v>
          </cell>
          <cell r="C40" t="str">
            <v>MA HOLLYWOOD PINSTRIPE BOMBER</v>
          </cell>
          <cell r="E40" t="str">
            <v>100% WOOL</v>
          </cell>
          <cell r="F40" t="str">
            <v>IT</v>
          </cell>
          <cell r="H40">
            <v>492.1</v>
          </cell>
          <cell r="I40">
            <v>7</v>
          </cell>
          <cell r="J40">
            <v>3444.7000000000003</v>
          </cell>
          <cell r="K40" t="str">
            <v>61019080</v>
          </cell>
          <cell r="L40" t="str">
            <v>6101.90.80.00.00</v>
          </cell>
        </row>
        <row r="41">
          <cell r="B41" t="str">
            <v>AMOUVY1007</v>
          </cell>
          <cell r="C41" t="str">
            <v>BONES JACKET</v>
          </cell>
          <cell r="E41" t="str">
            <v>75% WOOL 25% NYLON, TRIM: OVINE LEATHER, LINING: 100% VISCOSE</v>
          </cell>
          <cell r="F41" t="str">
            <v>IT</v>
          </cell>
          <cell r="H41">
            <v>521.5</v>
          </cell>
          <cell r="I41">
            <v>10</v>
          </cell>
          <cell r="J41">
            <v>5215</v>
          </cell>
          <cell r="K41" t="str">
            <v>61019080</v>
          </cell>
          <cell r="L41" t="str">
            <v>6101.90.80.00.00</v>
          </cell>
        </row>
        <row r="42">
          <cell r="B42" t="str">
            <v>W4530R</v>
          </cell>
          <cell r="C42" t="str">
            <v>Women's Outerwear</v>
          </cell>
          <cell r="D42" t="str">
            <v>Ivory</v>
          </cell>
          <cell r="E42" t="str">
            <v>SHELL, FILLING &amp; LINING: 100%PO...</v>
          </cell>
          <cell r="F42" t="str">
            <v>VN</v>
          </cell>
          <cell r="H42">
            <v>31.94</v>
          </cell>
          <cell r="I42">
            <v>9</v>
          </cell>
          <cell r="J42">
            <v>287.45999999999998</v>
          </cell>
          <cell r="K42" t="str">
            <v>6102.30.2010</v>
          </cell>
          <cell r="L42" t="str">
            <v>6102.30.10.00.00</v>
          </cell>
        </row>
        <row r="43">
          <cell r="B43" t="str">
            <v>U4029R</v>
          </cell>
          <cell r="C43" t="str">
            <v>Unisex Outerwear</v>
          </cell>
          <cell r="D43" t="str">
            <v>Black</v>
          </cell>
          <cell r="E43" t="str">
            <v>FAUX FUR SHELL &amp; CONTRAST: 10...</v>
          </cell>
          <cell r="F43" t="str">
            <v>CN</v>
          </cell>
          <cell r="H43">
            <v>37.24</v>
          </cell>
          <cell r="I43">
            <v>14</v>
          </cell>
          <cell r="J43">
            <v>521.36</v>
          </cell>
          <cell r="K43" t="str">
            <v>6102.30.2010</v>
          </cell>
          <cell r="L43" t="str">
            <v>6102.30.10.00.00</v>
          </cell>
        </row>
        <row r="44">
          <cell r="B44" t="str">
            <v>U4029R</v>
          </cell>
          <cell r="C44" t="str">
            <v>Unisex Outerwear</v>
          </cell>
          <cell r="D44" t="str">
            <v>Ivory</v>
          </cell>
          <cell r="E44" t="str">
            <v>FAUX FUR SHELL &amp; CONTRAST: 10...</v>
          </cell>
          <cell r="F44" t="str">
            <v>CN</v>
          </cell>
          <cell r="H44">
            <v>37.24</v>
          </cell>
          <cell r="I44">
            <v>14</v>
          </cell>
          <cell r="J44">
            <v>521.36</v>
          </cell>
          <cell r="K44" t="str">
            <v>6102.30.2010</v>
          </cell>
          <cell r="L44" t="str">
            <v>6102.30.10.00.00</v>
          </cell>
        </row>
        <row r="45">
          <cell r="B45" t="str">
            <v>U4029R</v>
          </cell>
          <cell r="C45" t="str">
            <v>Unisex Outerwear</v>
          </cell>
          <cell r="D45" t="str">
            <v>Espresso</v>
          </cell>
          <cell r="E45" t="str">
            <v>FAUX FUR SHELL &amp; CONTRAST: 10...</v>
          </cell>
          <cell r="F45" t="str">
            <v>CN</v>
          </cell>
          <cell r="H45">
            <v>37.24</v>
          </cell>
          <cell r="I45">
            <v>14</v>
          </cell>
          <cell r="J45">
            <v>521.36</v>
          </cell>
          <cell r="K45" t="str">
            <v>6102.30.2010</v>
          </cell>
          <cell r="L45" t="str">
            <v>6102.30.10.00.00</v>
          </cell>
        </row>
        <row r="46">
          <cell r="B46" t="str">
            <v>W4493R</v>
          </cell>
          <cell r="C46" t="str">
            <v>Women's Outerwear</v>
          </cell>
          <cell r="D46" t="str">
            <v>Black</v>
          </cell>
          <cell r="E46" t="str">
            <v>SHELL: 100%POLYESTER &gt;LINING: ...</v>
          </cell>
          <cell r="F46" t="str">
            <v>CN</v>
          </cell>
          <cell r="H46">
            <v>29.82</v>
          </cell>
          <cell r="I46">
            <v>18</v>
          </cell>
          <cell r="J46">
            <v>536.76</v>
          </cell>
          <cell r="K46" t="str">
            <v>6102.30.2010</v>
          </cell>
          <cell r="L46" t="str">
            <v>6102.30.10.00.00</v>
          </cell>
        </row>
        <row r="47">
          <cell r="B47" t="str">
            <v>W4493R</v>
          </cell>
          <cell r="C47" t="str">
            <v>Women's Outerwear</v>
          </cell>
          <cell r="D47" t="str">
            <v>Camel</v>
          </cell>
          <cell r="E47" t="str">
            <v>SHELL: 100%POLYESTER &gt;LINING: ...</v>
          </cell>
          <cell r="F47" t="str">
            <v>CN</v>
          </cell>
          <cell r="H47">
            <v>29.82</v>
          </cell>
          <cell r="I47">
            <v>18</v>
          </cell>
          <cell r="J47">
            <v>536.76</v>
          </cell>
          <cell r="K47" t="str">
            <v>6102.30.2010</v>
          </cell>
          <cell r="L47" t="str">
            <v>6102.30.10.00.00</v>
          </cell>
        </row>
        <row r="48">
          <cell r="B48" t="str">
            <v>W4493R</v>
          </cell>
          <cell r="C48" t="str">
            <v>Women's Outerwear</v>
          </cell>
          <cell r="D48" t="str">
            <v>Ivory</v>
          </cell>
          <cell r="E48" t="str">
            <v>SHELL: 100%POLYESTER &gt;LINING: ...</v>
          </cell>
          <cell r="F48" t="str">
            <v>CN</v>
          </cell>
          <cell r="H48">
            <v>29.82</v>
          </cell>
          <cell r="I48">
            <v>9</v>
          </cell>
          <cell r="J48">
            <v>268.38</v>
          </cell>
          <cell r="K48" t="str">
            <v>6102.30.2010</v>
          </cell>
          <cell r="L48" t="str">
            <v>6102.30.10.00.00</v>
          </cell>
        </row>
        <row r="49">
          <cell r="B49" t="str">
            <v>W4496R</v>
          </cell>
          <cell r="C49" t="str">
            <v>Women's Outerwear</v>
          </cell>
          <cell r="D49" t="str">
            <v>Black</v>
          </cell>
          <cell r="E49" t="str">
            <v>SHELL &amp; LINING: 100%POLYESTER ...</v>
          </cell>
          <cell r="F49" t="str">
            <v>CN</v>
          </cell>
          <cell r="H49">
            <v>33.17</v>
          </cell>
          <cell r="I49">
            <v>14</v>
          </cell>
          <cell r="J49">
            <v>464.38</v>
          </cell>
          <cell r="K49" t="str">
            <v>6102.30.2010</v>
          </cell>
          <cell r="L49" t="str">
            <v>6102.30.10.00.00</v>
          </cell>
        </row>
        <row r="50">
          <cell r="B50" t="str">
            <v>W4496R</v>
          </cell>
          <cell r="C50" t="str">
            <v>Women's Outerwear</v>
          </cell>
          <cell r="D50" t="str">
            <v>Ivory</v>
          </cell>
          <cell r="E50" t="str">
            <v>SHELL &amp; LINING: 100%POLYESTER ...</v>
          </cell>
          <cell r="F50" t="str">
            <v>CN</v>
          </cell>
          <cell r="H50">
            <v>33.17</v>
          </cell>
          <cell r="I50">
            <v>14</v>
          </cell>
          <cell r="J50">
            <v>464.38</v>
          </cell>
          <cell r="K50" t="str">
            <v>6102.30.2010</v>
          </cell>
          <cell r="L50" t="str">
            <v>6102.30.10.00.00</v>
          </cell>
        </row>
        <row r="51">
          <cell r="B51" t="str">
            <v>W4496R</v>
          </cell>
          <cell r="C51" t="str">
            <v>Women's Outerwear</v>
          </cell>
          <cell r="D51" t="str">
            <v>Toasted Almond</v>
          </cell>
          <cell r="E51" t="str">
            <v>SHELL &amp; LINING: 100%POLYESTER ...</v>
          </cell>
          <cell r="F51" t="str">
            <v>CN</v>
          </cell>
          <cell r="H51">
            <v>33.17</v>
          </cell>
          <cell r="I51">
            <v>9</v>
          </cell>
          <cell r="J51">
            <v>298.52999999999997</v>
          </cell>
          <cell r="K51" t="str">
            <v>6102.30.2010</v>
          </cell>
          <cell r="L51" t="str">
            <v>6102.30.10.00.00</v>
          </cell>
        </row>
        <row r="52">
          <cell r="B52" t="str">
            <v>W4529R</v>
          </cell>
          <cell r="C52" t="str">
            <v>Women's Outerwear</v>
          </cell>
          <cell r="D52" t="str">
            <v>Black</v>
          </cell>
          <cell r="E52" t="str">
            <v>TOP: 87%NYLON 13%ELASTANE&gt;B...</v>
          </cell>
          <cell r="F52" t="str">
            <v>CN</v>
          </cell>
          <cell r="H52">
            <v>23.6</v>
          </cell>
          <cell r="I52">
            <v>24</v>
          </cell>
          <cell r="J52">
            <v>566.4</v>
          </cell>
          <cell r="K52" t="str">
            <v>6102.30.2010</v>
          </cell>
          <cell r="L52" t="str">
            <v>6102.30.10.00.00</v>
          </cell>
        </row>
        <row r="53">
          <cell r="B53" t="str">
            <v>W4529R</v>
          </cell>
          <cell r="C53" t="str">
            <v>Women's Outerwear</v>
          </cell>
          <cell r="D53" t="str">
            <v>Ivory</v>
          </cell>
          <cell r="E53" t="str">
            <v>TOP: 81%NYLON 19%ELASTANE&gt;B...</v>
          </cell>
          <cell r="F53" t="str">
            <v>CN</v>
          </cell>
          <cell r="H53">
            <v>23.6</v>
          </cell>
          <cell r="I53">
            <v>18</v>
          </cell>
          <cell r="J53">
            <v>424.8</v>
          </cell>
          <cell r="K53" t="str">
            <v>6102.30.2010</v>
          </cell>
          <cell r="L53" t="str">
            <v>6102.30.10.00.00</v>
          </cell>
        </row>
        <row r="54">
          <cell r="B54" t="str">
            <v>W4529R</v>
          </cell>
          <cell r="C54" t="str">
            <v>Women's Outerwear</v>
          </cell>
          <cell r="D54" t="str">
            <v>Eclipse Blue</v>
          </cell>
          <cell r="E54" t="str">
            <v>TOP: 87%NYLON 13%ELASTANE&gt;B...</v>
          </cell>
          <cell r="F54" t="str">
            <v>VN</v>
          </cell>
          <cell r="H54">
            <v>23.75</v>
          </cell>
          <cell r="I54">
            <v>12</v>
          </cell>
          <cell r="J54">
            <v>285</v>
          </cell>
          <cell r="K54" t="str">
            <v>6102.30.2010</v>
          </cell>
          <cell r="L54" t="str">
            <v>6102.30.10.00.00</v>
          </cell>
        </row>
        <row r="55">
          <cell r="B55" t="str">
            <v>W4530R</v>
          </cell>
          <cell r="C55" t="str">
            <v>Women's Outerwear</v>
          </cell>
          <cell r="D55" t="str">
            <v>Ivory</v>
          </cell>
          <cell r="E55" t="str">
            <v>SHELL, FILLING &amp; LINING: 100%PO...</v>
          </cell>
          <cell r="F55" t="str">
            <v>VN</v>
          </cell>
          <cell r="H55">
            <v>31.94</v>
          </cell>
          <cell r="I55">
            <v>14</v>
          </cell>
          <cell r="J55">
            <v>447.16</v>
          </cell>
          <cell r="K55" t="str">
            <v>6102.30.2010</v>
          </cell>
          <cell r="L55" t="str">
            <v>6102.30.10.00.00</v>
          </cell>
        </row>
        <row r="56">
          <cell r="B56" t="str">
            <v>W4530R</v>
          </cell>
          <cell r="C56" t="str">
            <v>Women's Outerwear</v>
          </cell>
          <cell r="D56" t="str">
            <v>Espresso</v>
          </cell>
          <cell r="E56" t="str">
            <v>SHELL, FILLING &amp; LINING: 100%PO...</v>
          </cell>
          <cell r="F56" t="str">
            <v>VN</v>
          </cell>
          <cell r="H56">
            <v>31.94</v>
          </cell>
          <cell r="I56">
            <v>14</v>
          </cell>
          <cell r="J56">
            <v>447.16</v>
          </cell>
          <cell r="K56" t="str">
            <v>6102.30.2010</v>
          </cell>
          <cell r="L56" t="str">
            <v>6102.30.10.00.00</v>
          </cell>
        </row>
        <row r="57">
          <cell r="B57" t="str">
            <v>W4556R</v>
          </cell>
          <cell r="C57" t="str">
            <v>Women's Outerwear</v>
          </cell>
          <cell r="D57" t="str">
            <v>Black</v>
          </cell>
          <cell r="E57" t="str">
            <v>SHELL, FILLING &amp; LINING: 100%PO...</v>
          </cell>
          <cell r="F57" t="str">
            <v>CN</v>
          </cell>
          <cell r="H57">
            <v>29.72</v>
          </cell>
          <cell r="I57">
            <v>9</v>
          </cell>
          <cell r="J57">
            <v>267.48</v>
          </cell>
          <cell r="K57" t="str">
            <v>6102.30.2010</v>
          </cell>
          <cell r="L57" t="str">
            <v>6102.30.10.00.00</v>
          </cell>
        </row>
        <row r="58">
          <cell r="B58" t="str">
            <v>W4556R</v>
          </cell>
          <cell r="C58" t="str">
            <v>Women's Outerwear</v>
          </cell>
          <cell r="D58" t="str">
            <v>Ivory</v>
          </cell>
          <cell r="E58" t="str">
            <v>SHELL, FILLING &amp; LINING: 100%PO...</v>
          </cell>
          <cell r="F58" t="str">
            <v>CN</v>
          </cell>
          <cell r="H58">
            <v>29.72</v>
          </cell>
          <cell r="I58">
            <v>6</v>
          </cell>
          <cell r="J58">
            <v>178.32</v>
          </cell>
          <cell r="K58" t="str">
            <v>6102.30.2010</v>
          </cell>
          <cell r="L58" t="str">
            <v>6102.30.10.00.00</v>
          </cell>
        </row>
        <row r="59">
          <cell r="B59" t="str">
            <v>W4556R</v>
          </cell>
          <cell r="C59" t="str">
            <v>Women's Outerwear</v>
          </cell>
          <cell r="D59" t="str">
            <v>Eclipse Blue</v>
          </cell>
          <cell r="E59" t="str">
            <v>SHELL, FILLING &amp; LINING: 100%PO...</v>
          </cell>
          <cell r="F59" t="str">
            <v>CN</v>
          </cell>
          <cell r="H59">
            <v>29.94</v>
          </cell>
          <cell r="I59">
            <v>6</v>
          </cell>
          <cell r="J59">
            <v>179.64</v>
          </cell>
          <cell r="K59" t="str">
            <v>6102.30.2010</v>
          </cell>
          <cell r="L59" t="str">
            <v>6102.30.10.00.00</v>
          </cell>
        </row>
        <row r="60">
          <cell r="B60" t="str">
            <v>W4602R</v>
          </cell>
          <cell r="C60" t="str">
            <v>Women's Outerwear</v>
          </cell>
          <cell r="D60" t="str">
            <v>Eclipse Blue</v>
          </cell>
          <cell r="E60" t="str">
            <v>SHELL &amp; LINING: 100%POLYESTER...</v>
          </cell>
          <cell r="F60" t="str">
            <v>KH</v>
          </cell>
          <cell r="H60">
            <v>12.14</v>
          </cell>
          <cell r="I60">
            <v>9</v>
          </cell>
          <cell r="J60">
            <v>109.26</v>
          </cell>
          <cell r="K60" t="str">
            <v>6102.30.2010</v>
          </cell>
          <cell r="L60" t="str">
            <v>6102.30.10.00.00</v>
          </cell>
        </row>
        <row r="61">
          <cell r="B61" t="str">
            <v>W4493R</v>
          </cell>
          <cell r="C61" t="str">
            <v>Women's Outerwear</v>
          </cell>
          <cell r="D61" t="str">
            <v>Black</v>
          </cell>
          <cell r="E61" t="str">
            <v>SHELL: 100%POLYESTER &gt;LINING: ...</v>
          </cell>
          <cell r="F61" t="str">
            <v>CN</v>
          </cell>
          <cell r="H61">
            <v>29.82</v>
          </cell>
          <cell r="I61">
            <v>19</v>
          </cell>
          <cell r="J61">
            <v>566.58000000000004</v>
          </cell>
          <cell r="K61" t="str">
            <v>6102.30.2010</v>
          </cell>
          <cell r="L61" t="str">
            <v>6102.30.10.00.00</v>
          </cell>
        </row>
        <row r="62">
          <cell r="B62" t="str">
            <v>AWOUDW1001</v>
          </cell>
          <cell r="C62" t="str">
            <v>MA QUAD CROPPED DOWN JACKET</v>
          </cell>
          <cell r="E62" t="str">
            <v>100% POLYESTER</v>
          </cell>
          <cell r="F62" t="str">
            <v>RO</v>
          </cell>
          <cell r="H62">
            <v>434</v>
          </cell>
          <cell r="I62">
            <v>2</v>
          </cell>
          <cell r="J62">
            <v>868</v>
          </cell>
          <cell r="K62" t="str">
            <v>61023090</v>
          </cell>
          <cell r="L62" t="str">
            <v>6102.30.90.00.00</v>
          </cell>
        </row>
        <row r="63">
          <cell r="B63" t="str">
            <v>M5151R</v>
          </cell>
          <cell r="C63" t="str">
            <v>Men's Other Bottoms</v>
          </cell>
          <cell r="D63" t="str">
            <v>Black</v>
          </cell>
          <cell r="E63" t="str">
            <v>65%COTTON 35%POLYESTER&gt;EXC...</v>
          </cell>
          <cell r="F63" t="str">
            <v>VN</v>
          </cell>
          <cell r="H63">
            <v>17.7</v>
          </cell>
          <cell r="I63">
            <v>30</v>
          </cell>
          <cell r="J63">
            <v>531</v>
          </cell>
          <cell r="K63" t="str">
            <v>6103.42.1020</v>
          </cell>
          <cell r="L63" t="str">
            <v>6103.42.00.00.00</v>
          </cell>
        </row>
        <row r="64">
          <cell r="B64" t="str">
            <v>M5151R</v>
          </cell>
          <cell r="C64" t="str">
            <v>Men's Other Bottoms</v>
          </cell>
          <cell r="D64" t="str">
            <v>Athletic Heather Grey</v>
          </cell>
          <cell r="E64" t="str">
            <v>65%COTTON 35%POLYESTER&gt;EXC...</v>
          </cell>
          <cell r="F64" t="str">
            <v>VN</v>
          </cell>
          <cell r="H64">
            <v>17.7</v>
          </cell>
          <cell r="I64">
            <v>30</v>
          </cell>
          <cell r="J64">
            <v>531</v>
          </cell>
          <cell r="K64" t="str">
            <v>6103.42.1020</v>
          </cell>
          <cell r="L64" t="str">
            <v>6103.42.00.00.00</v>
          </cell>
        </row>
        <row r="65">
          <cell r="B65" t="str">
            <v>M5151R</v>
          </cell>
          <cell r="C65" t="str">
            <v>Men's Other Bottoms</v>
          </cell>
          <cell r="D65" t="str">
            <v>Bone</v>
          </cell>
          <cell r="E65" t="str">
            <v>65%COTTON 35%POLYESTER&gt;EXC...</v>
          </cell>
          <cell r="F65" t="str">
            <v>VN</v>
          </cell>
          <cell r="H65">
            <v>17.7</v>
          </cell>
          <cell r="I65">
            <v>23</v>
          </cell>
          <cell r="J65">
            <v>407.1</v>
          </cell>
          <cell r="K65" t="str">
            <v>6103.42.1020</v>
          </cell>
          <cell r="L65" t="str">
            <v>6103.42.00.00.00</v>
          </cell>
        </row>
        <row r="66">
          <cell r="B66" t="str">
            <v>M6122R</v>
          </cell>
          <cell r="C66" t="str">
            <v>Men's Shorts</v>
          </cell>
          <cell r="D66" t="str">
            <v>Black</v>
          </cell>
          <cell r="E66" t="str">
            <v>BODY: 65%COTTON 35%POLYESTE...</v>
          </cell>
          <cell r="F66" t="str">
            <v>VN</v>
          </cell>
          <cell r="H66">
            <v>13.86</v>
          </cell>
          <cell r="I66">
            <v>30</v>
          </cell>
          <cell r="J66">
            <v>415.8</v>
          </cell>
          <cell r="K66" t="str">
            <v>6103.42.1050</v>
          </cell>
          <cell r="L66" t="str">
            <v>6103.42.00.00.00</v>
          </cell>
        </row>
        <row r="67">
          <cell r="B67" t="str">
            <v>M6122R</v>
          </cell>
          <cell r="C67" t="str">
            <v>Men's Shorts</v>
          </cell>
          <cell r="D67" t="str">
            <v>Athletic Heather Grey</v>
          </cell>
          <cell r="E67" t="str">
            <v>BODY: 65%COTTON 35%POLYESTE...</v>
          </cell>
          <cell r="F67" t="str">
            <v>VN</v>
          </cell>
          <cell r="H67">
            <v>13.86</v>
          </cell>
          <cell r="I67">
            <v>23</v>
          </cell>
          <cell r="J67">
            <v>318.77999999999997</v>
          </cell>
          <cell r="K67" t="str">
            <v>6103.42.1050</v>
          </cell>
          <cell r="L67" t="str">
            <v>6103.42.00.00.00</v>
          </cell>
        </row>
        <row r="68">
          <cell r="B68" t="str">
            <v>M6122R</v>
          </cell>
          <cell r="C68" t="str">
            <v>Men's Shorts</v>
          </cell>
          <cell r="D68" t="str">
            <v>Bone</v>
          </cell>
          <cell r="E68" t="str">
            <v>BODY: 65%COTTON 35%POLYESTE...</v>
          </cell>
          <cell r="F68" t="str">
            <v>VN</v>
          </cell>
          <cell r="H68">
            <v>13.86</v>
          </cell>
          <cell r="I68">
            <v>18</v>
          </cell>
          <cell r="J68">
            <v>249.48</v>
          </cell>
          <cell r="K68" t="str">
            <v>6103.42.1050</v>
          </cell>
          <cell r="L68" t="str">
            <v>6103.42.00.00.00</v>
          </cell>
        </row>
        <row r="69">
          <cell r="B69" t="str">
            <v>M6122R</v>
          </cell>
          <cell r="C69" t="str">
            <v>Men's Shorts</v>
          </cell>
          <cell r="D69" t="str">
            <v>Oatmeal Heather</v>
          </cell>
          <cell r="E69" t="str">
            <v>BODY: 65%COTTON 35%POLYESTE...</v>
          </cell>
          <cell r="F69" t="str">
            <v>VN</v>
          </cell>
          <cell r="H69">
            <v>15.34</v>
          </cell>
          <cell r="I69">
            <v>16</v>
          </cell>
          <cell r="J69">
            <v>245.44</v>
          </cell>
          <cell r="K69" t="str">
            <v>6103.42.1050</v>
          </cell>
          <cell r="L69" t="str">
            <v>6103.42.00.00.00</v>
          </cell>
        </row>
        <row r="70">
          <cell r="B70" t="str">
            <v>M6122R</v>
          </cell>
          <cell r="C70" t="str">
            <v>Men's Shorts</v>
          </cell>
          <cell r="D70" t="str">
            <v>Eclipse Blue</v>
          </cell>
          <cell r="E70" t="str">
            <v>BODY: 65%COTTON 35%POLYESTE...</v>
          </cell>
          <cell r="F70" t="str">
            <v>VN</v>
          </cell>
          <cell r="H70">
            <v>15.34</v>
          </cell>
          <cell r="I70">
            <v>19</v>
          </cell>
          <cell r="J70">
            <v>291.45999999999998</v>
          </cell>
          <cell r="K70" t="str">
            <v>6103.42.1050</v>
          </cell>
          <cell r="L70" t="str">
            <v>6103.42.00.00.00</v>
          </cell>
        </row>
        <row r="71">
          <cell r="B71" t="str">
            <v>M6122R</v>
          </cell>
          <cell r="C71" t="str">
            <v>Men's Shorts</v>
          </cell>
          <cell r="D71" t="str">
            <v>Italian Plum</v>
          </cell>
          <cell r="E71" t="str">
            <v>BODY: 65%COTTON 35%POLYESTE...</v>
          </cell>
          <cell r="F71" t="str">
            <v>VN</v>
          </cell>
          <cell r="H71">
            <v>15.34</v>
          </cell>
          <cell r="I71">
            <v>16</v>
          </cell>
          <cell r="J71">
            <v>245.44</v>
          </cell>
          <cell r="K71" t="str">
            <v>6103.42.1050</v>
          </cell>
          <cell r="L71" t="str">
            <v>6103.42.00.00.00</v>
          </cell>
        </row>
        <row r="72">
          <cell r="B72" t="str">
            <v>M6150R</v>
          </cell>
          <cell r="C72" t="str">
            <v>Men's Shorts</v>
          </cell>
          <cell r="D72" t="str">
            <v>Black</v>
          </cell>
          <cell r="E72" t="str">
            <v>100%COTTON&gt;EXCLUSIVE OF TRIMMING</v>
          </cell>
          <cell r="F72" t="str">
            <v>CN</v>
          </cell>
          <cell r="H72">
            <v>25.85</v>
          </cell>
          <cell r="I72">
            <v>9</v>
          </cell>
          <cell r="J72">
            <v>232.65</v>
          </cell>
          <cell r="K72" t="str">
            <v>6103.42.1050</v>
          </cell>
          <cell r="L72" t="str">
            <v>6103.42.00.00.00</v>
          </cell>
        </row>
        <row r="73">
          <cell r="B73" t="str">
            <v>M6150R</v>
          </cell>
          <cell r="C73" t="str">
            <v>Men's Shorts</v>
          </cell>
          <cell r="D73" t="str">
            <v>Athletic Heather Grey</v>
          </cell>
          <cell r="E73" t="str">
            <v>100%COTTON&gt;EXCLUSIVE OF TRIMMING</v>
          </cell>
          <cell r="F73" t="str">
            <v>CN</v>
          </cell>
          <cell r="H73">
            <v>25.85</v>
          </cell>
          <cell r="I73">
            <v>9</v>
          </cell>
          <cell r="J73">
            <v>232.65</v>
          </cell>
          <cell r="K73" t="str">
            <v>6103.42.1050</v>
          </cell>
          <cell r="L73" t="str">
            <v>6103.42.00.00.00</v>
          </cell>
        </row>
        <row r="74">
          <cell r="B74" t="str">
            <v>M5142R</v>
          </cell>
          <cell r="C74" t="str">
            <v>Men's Bottoms/Pants</v>
          </cell>
          <cell r="D74" t="str">
            <v>Black</v>
          </cell>
          <cell r="E74" t="str">
            <v>94%POLYESTER 6%ELASTANE&gt;EX...</v>
          </cell>
          <cell r="F74" t="str">
            <v>CN</v>
          </cell>
          <cell r="H74">
            <v>16.760000000000002</v>
          </cell>
          <cell r="I74">
            <v>20</v>
          </cell>
          <cell r="J74">
            <v>335.2</v>
          </cell>
          <cell r="K74" t="str">
            <v>6103.43.1520</v>
          </cell>
          <cell r="L74" t="str">
            <v>6103.43.00.00.00</v>
          </cell>
        </row>
        <row r="75">
          <cell r="B75" t="str">
            <v>M5142R</v>
          </cell>
          <cell r="C75" t="str">
            <v>Men's Bottoms/Pants</v>
          </cell>
          <cell r="D75" t="str">
            <v>Stealth Green</v>
          </cell>
          <cell r="E75" t="str">
            <v>94%POLYESTER 6%ELASTANE&gt;EX...</v>
          </cell>
          <cell r="F75" t="str">
            <v>CN</v>
          </cell>
          <cell r="H75">
            <v>16.760000000000002</v>
          </cell>
          <cell r="I75">
            <v>19</v>
          </cell>
          <cell r="J75">
            <v>318.44</v>
          </cell>
          <cell r="K75" t="str">
            <v>6103.43.1520</v>
          </cell>
          <cell r="L75" t="str">
            <v>6103.43.00.00.00</v>
          </cell>
        </row>
        <row r="76">
          <cell r="B76" t="str">
            <v>M5148R</v>
          </cell>
          <cell r="C76" t="str">
            <v>Men's Other Bottoms</v>
          </cell>
          <cell r="D76" t="str">
            <v>Navy</v>
          </cell>
          <cell r="E76" t="str">
            <v>BODY: 65%TENCEL™LYOCELL 30...</v>
          </cell>
          <cell r="F76" t="str">
            <v>VN</v>
          </cell>
          <cell r="H76">
            <v>22.88</v>
          </cell>
          <cell r="I76">
            <v>20</v>
          </cell>
          <cell r="J76">
            <v>457.6</v>
          </cell>
          <cell r="K76" t="str">
            <v>6103.43.1520</v>
          </cell>
          <cell r="L76" t="str">
            <v>6103.43.00.00.00</v>
          </cell>
        </row>
        <row r="77">
          <cell r="B77" t="str">
            <v>M5148R</v>
          </cell>
          <cell r="C77" t="str">
            <v>Men's Other Bottoms</v>
          </cell>
          <cell r="D77" t="str">
            <v>Espresso</v>
          </cell>
          <cell r="E77" t="str">
            <v>BODY: 65%TENCEL™LYOCELL 30...</v>
          </cell>
          <cell r="F77" t="str">
            <v>VN</v>
          </cell>
          <cell r="H77">
            <v>22.88</v>
          </cell>
          <cell r="I77">
            <v>16</v>
          </cell>
          <cell r="J77">
            <v>366.08</v>
          </cell>
          <cell r="K77" t="str">
            <v>6103.43.1520</v>
          </cell>
          <cell r="L77" t="str">
            <v>6103.43.00.00.00</v>
          </cell>
        </row>
        <row r="78">
          <cell r="B78" t="str">
            <v>M5070R</v>
          </cell>
          <cell r="C78" t="str">
            <v>Men's Bottoms/Pants</v>
          </cell>
          <cell r="D78" t="str">
            <v>Black</v>
          </cell>
          <cell r="E78" t="str">
            <v>94%POLYESTER 6%ELASTANE&gt;EX...</v>
          </cell>
          <cell r="F78" t="str">
            <v>NI</v>
          </cell>
          <cell r="H78">
            <v>21.35</v>
          </cell>
          <cell r="I78">
            <v>12</v>
          </cell>
          <cell r="J78">
            <v>256.2</v>
          </cell>
          <cell r="K78" t="str">
            <v>6103.43.1520</v>
          </cell>
          <cell r="L78" t="str">
            <v>6103.43.00.00.00</v>
          </cell>
        </row>
        <row r="79">
          <cell r="B79" t="str">
            <v>M5070R</v>
          </cell>
          <cell r="C79" t="str">
            <v>Men's Bottoms/Pants</v>
          </cell>
          <cell r="D79" t="str">
            <v>Athletic Heather Grey</v>
          </cell>
          <cell r="E79" t="str">
            <v>94%POLYESTER 6%ELASTANE&gt;EX...</v>
          </cell>
          <cell r="F79" t="str">
            <v>NI</v>
          </cell>
          <cell r="H79">
            <v>21.35</v>
          </cell>
          <cell r="I79">
            <v>16</v>
          </cell>
          <cell r="J79">
            <v>341.6</v>
          </cell>
          <cell r="K79" t="str">
            <v>6103.43.1520</v>
          </cell>
          <cell r="L79" t="str">
            <v>6103.43.00.00.00</v>
          </cell>
        </row>
        <row r="80">
          <cell r="B80" t="str">
            <v>M5203R</v>
          </cell>
          <cell r="C80" t="str">
            <v>Men's Other Bottoms</v>
          </cell>
          <cell r="D80" t="str">
            <v>Black</v>
          </cell>
          <cell r="E80" t="str">
            <v>50%POLYESTER 38%COTTON 12%...</v>
          </cell>
          <cell r="F80" t="str">
            <v>NI</v>
          </cell>
          <cell r="H80">
            <v>21.5</v>
          </cell>
          <cell r="I80">
            <v>8</v>
          </cell>
          <cell r="J80">
            <v>172</v>
          </cell>
          <cell r="K80" t="str">
            <v>6103.43.1520</v>
          </cell>
          <cell r="L80" t="str">
            <v>6103.43.00.00.00</v>
          </cell>
        </row>
        <row r="81">
          <cell r="B81" t="str">
            <v>M5203R</v>
          </cell>
          <cell r="C81" t="str">
            <v>Men's Other Bottoms</v>
          </cell>
          <cell r="D81" t="str">
            <v>Bone</v>
          </cell>
          <cell r="E81" t="str">
            <v>50%POLYESTER 38%COTTON 12%...</v>
          </cell>
          <cell r="F81" t="str">
            <v>NI</v>
          </cell>
          <cell r="H81">
            <v>21.5</v>
          </cell>
          <cell r="I81">
            <v>4</v>
          </cell>
          <cell r="J81">
            <v>86</v>
          </cell>
          <cell r="K81" t="str">
            <v>6103.43.1520</v>
          </cell>
          <cell r="L81" t="str">
            <v>6103.43.00.00.00</v>
          </cell>
        </row>
        <row r="82">
          <cell r="B82" t="str">
            <v>M6131R</v>
          </cell>
          <cell r="C82" t="str">
            <v>Men's Shorts</v>
          </cell>
          <cell r="D82" t="str">
            <v>Black</v>
          </cell>
          <cell r="E82" t="str">
            <v>94%POLYESTER 6%ELASTANE&gt;EX...</v>
          </cell>
          <cell r="F82" t="str">
            <v>VN</v>
          </cell>
          <cell r="H82">
            <v>11.15</v>
          </cell>
          <cell r="I82">
            <v>24</v>
          </cell>
          <cell r="J82">
            <v>267.60000000000002</v>
          </cell>
          <cell r="K82" t="str">
            <v>6103.43.1550</v>
          </cell>
          <cell r="L82" t="str">
            <v>6103.43.00.00.00</v>
          </cell>
        </row>
        <row r="83">
          <cell r="B83" t="str">
            <v>M6131R</v>
          </cell>
          <cell r="C83" t="str">
            <v>Men's Shorts</v>
          </cell>
          <cell r="D83" t="str">
            <v>Navy</v>
          </cell>
          <cell r="E83" t="str">
            <v>94%POLYESTER 6%ELASTANE&gt;EX...</v>
          </cell>
          <cell r="F83" t="str">
            <v>VN</v>
          </cell>
          <cell r="H83">
            <v>11.15</v>
          </cell>
          <cell r="I83">
            <v>20</v>
          </cell>
          <cell r="J83">
            <v>223</v>
          </cell>
          <cell r="K83" t="str">
            <v>6103.43.1550</v>
          </cell>
          <cell r="L83" t="str">
            <v>6103.43.00.00.00</v>
          </cell>
        </row>
        <row r="84">
          <cell r="B84" t="str">
            <v>M6131R</v>
          </cell>
          <cell r="C84" t="str">
            <v>Men's Shorts</v>
          </cell>
          <cell r="D84" t="str">
            <v>Espresso</v>
          </cell>
          <cell r="E84" t="str">
            <v>94%POLYESTER 6%ELASTANE&gt;EX...</v>
          </cell>
          <cell r="F84" t="str">
            <v>VN</v>
          </cell>
          <cell r="H84">
            <v>11.15</v>
          </cell>
          <cell r="I84">
            <v>20</v>
          </cell>
          <cell r="J84">
            <v>223</v>
          </cell>
          <cell r="K84" t="str">
            <v>6103.43.1550</v>
          </cell>
          <cell r="L84" t="str">
            <v>6103.43.00.00.00</v>
          </cell>
        </row>
        <row r="85">
          <cell r="B85" t="str">
            <v>M6131R</v>
          </cell>
          <cell r="C85" t="str">
            <v>Men's Shorts</v>
          </cell>
          <cell r="D85" t="str">
            <v>Steel Grey</v>
          </cell>
          <cell r="E85" t="str">
            <v>94%POLYESTER 6%ELASTANE&gt;EX...</v>
          </cell>
          <cell r="F85" t="str">
            <v>VN</v>
          </cell>
          <cell r="H85">
            <v>11.15</v>
          </cell>
          <cell r="I85">
            <v>19</v>
          </cell>
          <cell r="J85">
            <v>211.85</v>
          </cell>
          <cell r="K85" t="str">
            <v>6103.43.1550</v>
          </cell>
          <cell r="L85" t="str">
            <v>6103.43.00.00.00</v>
          </cell>
        </row>
        <row r="86">
          <cell r="B86" t="str">
            <v>M6153R</v>
          </cell>
          <cell r="C86" t="str">
            <v>Men's Shorts</v>
          </cell>
          <cell r="D86" t="str">
            <v>Anthracite/Black</v>
          </cell>
          <cell r="E86" t="str">
            <v>LAYER 1: 94%POLYESTER 6%ELAS...</v>
          </cell>
          <cell r="F86" t="str">
            <v>VN</v>
          </cell>
          <cell r="H86">
            <v>13.84</v>
          </cell>
          <cell r="I86">
            <v>20</v>
          </cell>
          <cell r="J86">
            <v>276.8</v>
          </cell>
          <cell r="K86" t="str">
            <v>6103.43.1550</v>
          </cell>
          <cell r="L86" t="str">
            <v>6103.43.00.00.00</v>
          </cell>
        </row>
        <row r="87">
          <cell r="B87" t="str">
            <v>M6153R</v>
          </cell>
          <cell r="C87" t="str">
            <v>Men's Shorts</v>
          </cell>
          <cell r="D87" t="str">
            <v>Black/Black</v>
          </cell>
          <cell r="E87" t="str">
            <v>LAYER 1: 94%POLYESTER 6%ELAS...</v>
          </cell>
          <cell r="F87" t="str">
            <v>VN</v>
          </cell>
          <cell r="H87">
            <v>13.84</v>
          </cell>
          <cell r="I87">
            <v>24</v>
          </cell>
          <cell r="J87">
            <v>332.16</v>
          </cell>
          <cell r="K87" t="str">
            <v>6103.43.1550</v>
          </cell>
          <cell r="L87" t="str">
            <v>6103.43.00.00.00</v>
          </cell>
        </row>
        <row r="88">
          <cell r="B88" t="str">
            <v>M6153R</v>
          </cell>
          <cell r="C88" t="str">
            <v>Men's Shorts</v>
          </cell>
          <cell r="D88" t="str">
            <v>Stealth Green/Black</v>
          </cell>
          <cell r="E88" t="str">
            <v>LAYER 1: 94%POLYESTER 6%ELAS...</v>
          </cell>
          <cell r="F88" t="str">
            <v>VN</v>
          </cell>
          <cell r="H88">
            <v>13.84</v>
          </cell>
          <cell r="I88">
            <v>19</v>
          </cell>
          <cell r="J88">
            <v>262.95999999999998</v>
          </cell>
          <cell r="K88" t="str">
            <v>6103.43.1550</v>
          </cell>
          <cell r="L88" t="str">
            <v>6103.43.00.00.00</v>
          </cell>
        </row>
        <row r="89">
          <cell r="B89" t="str">
            <v>AMSHCA1043</v>
          </cell>
          <cell r="C89" t="str">
            <v>ARTS DISTRICT SHORT</v>
          </cell>
          <cell r="E89" t="str">
            <v>100% SILK</v>
          </cell>
          <cell r="F89" t="str">
            <v>IT</v>
          </cell>
          <cell r="H89">
            <v>247.8</v>
          </cell>
          <cell r="I89">
            <v>10</v>
          </cell>
          <cell r="J89">
            <v>2478</v>
          </cell>
          <cell r="K89" t="str">
            <v>61034900</v>
          </cell>
          <cell r="L89" t="str">
            <v>6103.49.00.00.91</v>
          </cell>
        </row>
        <row r="90">
          <cell r="B90" t="str">
            <v>W8277R</v>
          </cell>
          <cell r="C90" t="str">
            <v>Women's Dresses</v>
          </cell>
          <cell r="D90" t="str">
            <v>Black/Ivory</v>
          </cell>
          <cell r="E90" t="str">
            <v>100%COTTON&gt;EXCLUSIVE OF TRIMMING</v>
          </cell>
          <cell r="F90" t="str">
            <v>VN</v>
          </cell>
          <cell r="H90">
            <v>18</v>
          </cell>
          <cell r="I90">
            <v>8</v>
          </cell>
          <cell r="J90">
            <v>144</v>
          </cell>
          <cell r="K90" t="str">
            <v>6104.42.0010</v>
          </cell>
          <cell r="L90" t="str">
            <v>6104.42.00.00.00</v>
          </cell>
        </row>
        <row r="91">
          <cell r="B91" t="str">
            <v>W8176R</v>
          </cell>
          <cell r="C91" t="str">
            <v>Women's Dresses</v>
          </cell>
          <cell r="D91" t="str">
            <v>White</v>
          </cell>
          <cell r="E91" t="str">
            <v>LAYER 1: 87%POLYESTER 13%ELA...</v>
          </cell>
          <cell r="F91" t="str">
            <v>VN</v>
          </cell>
          <cell r="H91">
            <v>17.260000000000002</v>
          </cell>
          <cell r="I91">
            <v>18</v>
          </cell>
          <cell r="J91">
            <v>310.68</v>
          </cell>
          <cell r="K91" t="str">
            <v>6104.43.2010</v>
          </cell>
          <cell r="L91" t="str">
            <v>6104.43.00.00.19</v>
          </cell>
        </row>
        <row r="92">
          <cell r="B92" t="str">
            <v>W8276R</v>
          </cell>
          <cell r="C92" t="str">
            <v>Women's Dresses</v>
          </cell>
          <cell r="D92" t="str">
            <v>White</v>
          </cell>
          <cell r="E92" t="str">
            <v>LAYER 1: 87%POLYESTER 13%ELA...</v>
          </cell>
          <cell r="F92" t="str">
            <v>VN</v>
          </cell>
          <cell r="H92">
            <v>19.28</v>
          </cell>
          <cell r="I92">
            <v>15</v>
          </cell>
          <cell r="J92">
            <v>289.2</v>
          </cell>
          <cell r="K92" t="str">
            <v>6104.43.2010</v>
          </cell>
          <cell r="L92" t="str">
            <v>6104.43.00.00.19</v>
          </cell>
        </row>
        <row r="93">
          <cell r="B93" t="str">
            <v>W8276R</v>
          </cell>
          <cell r="C93" t="str">
            <v>Women's Dresses</v>
          </cell>
          <cell r="D93" t="str">
            <v>Black</v>
          </cell>
          <cell r="E93" t="str">
            <v>LAYER 1: 87%POLYESTER 13%ELA...</v>
          </cell>
          <cell r="F93" t="str">
            <v>VN</v>
          </cell>
          <cell r="H93">
            <v>19.28</v>
          </cell>
          <cell r="I93">
            <v>18</v>
          </cell>
          <cell r="J93">
            <v>347.04</v>
          </cell>
          <cell r="K93" t="str">
            <v>6104.43.2010</v>
          </cell>
          <cell r="L93" t="str">
            <v>6104.43.00.00.19</v>
          </cell>
        </row>
        <row r="94">
          <cell r="B94" t="str">
            <v>W8276R</v>
          </cell>
          <cell r="C94" t="str">
            <v>Women's Dresses</v>
          </cell>
          <cell r="D94" t="str">
            <v>Eclipse Blue</v>
          </cell>
          <cell r="E94" t="str">
            <v>LAYER 1: 87%POLYESTER 13%ELA...</v>
          </cell>
          <cell r="F94" t="str">
            <v>VN</v>
          </cell>
          <cell r="H94">
            <v>19.28</v>
          </cell>
          <cell r="I94">
            <v>10</v>
          </cell>
          <cell r="J94">
            <v>192.8</v>
          </cell>
          <cell r="K94" t="str">
            <v>6104.43.2010</v>
          </cell>
          <cell r="L94" t="str">
            <v>6104.43.00.00.19</v>
          </cell>
        </row>
        <row r="95">
          <cell r="B95" t="str">
            <v>W8278R</v>
          </cell>
          <cell r="C95" t="str">
            <v>Women's Dresses</v>
          </cell>
          <cell r="D95" t="str">
            <v>Black/White</v>
          </cell>
          <cell r="E95" t="str">
            <v>LAYER 1: 87%NYLON 13%ELASTAN...</v>
          </cell>
          <cell r="F95" t="str">
            <v>VN</v>
          </cell>
          <cell r="H95">
            <v>23.24</v>
          </cell>
          <cell r="I95">
            <v>18</v>
          </cell>
          <cell r="J95">
            <v>418.32</v>
          </cell>
          <cell r="K95" t="str">
            <v>6104.43.2010</v>
          </cell>
          <cell r="L95" t="str">
            <v>6104.43.00.00.19</v>
          </cell>
        </row>
        <row r="96">
          <cell r="B96" t="str">
            <v>W8278R</v>
          </cell>
          <cell r="C96" t="str">
            <v>Women's Dresses</v>
          </cell>
          <cell r="D96" t="str">
            <v>Navy/Ivory</v>
          </cell>
          <cell r="E96" t="str">
            <v>LAYER 1: 81%POLYESTER 19%ELA...</v>
          </cell>
          <cell r="F96" t="str">
            <v>VN</v>
          </cell>
          <cell r="H96">
            <v>23.24</v>
          </cell>
          <cell r="I96">
            <v>18</v>
          </cell>
          <cell r="J96">
            <v>418.32</v>
          </cell>
          <cell r="K96" t="str">
            <v>6104.43.2010</v>
          </cell>
          <cell r="L96" t="str">
            <v>6104.43.00.00.19</v>
          </cell>
        </row>
        <row r="97">
          <cell r="B97" t="str">
            <v>W8281R</v>
          </cell>
          <cell r="C97" t="str">
            <v>Women's Dresses</v>
          </cell>
          <cell r="D97" t="str">
            <v>Steel Grey/Anthracite</v>
          </cell>
          <cell r="E97" t="str">
            <v>BODY: 62%RAYON 38%POLYESTE...</v>
          </cell>
          <cell r="F97" t="str">
            <v>CN</v>
          </cell>
          <cell r="H97">
            <v>30.4</v>
          </cell>
          <cell r="I97">
            <v>6</v>
          </cell>
          <cell r="J97">
            <v>182.4</v>
          </cell>
          <cell r="K97" t="str">
            <v>6104.43.2010</v>
          </cell>
          <cell r="L97" t="str">
            <v>6104.43.00.00.19</v>
          </cell>
        </row>
        <row r="98">
          <cell r="B98" t="str">
            <v>W6408R</v>
          </cell>
          <cell r="C98" t="str">
            <v>Women's Skirts</v>
          </cell>
          <cell r="D98" t="str">
            <v>Black</v>
          </cell>
          <cell r="E98" t="str">
            <v>LAYER 1: 90%COTTON 9%NYLON 1...</v>
          </cell>
          <cell r="F98" t="str">
            <v>CN</v>
          </cell>
          <cell r="H98">
            <v>25.28</v>
          </cell>
          <cell r="I98">
            <v>10</v>
          </cell>
          <cell r="J98">
            <v>252.8</v>
          </cell>
          <cell r="K98" t="str">
            <v>6104.52.0010</v>
          </cell>
          <cell r="L98" t="str">
            <v>6104.52.00.00.00</v>
          </cell>
        </row>
        <row r="99">
          <cell r="B99" t="str">
            <v>W6427R</v>
          </cell>
          <cell r="C99" t="str">
            <v>Women's Skirts</v>
          </cell>
          <cell r="D99" t="str">
            <v>Black/Ivory</v>
          </cell>
          <cell r="E99" t="str">
            <v>LAYER 1: 100%COTTON&gt;LAYER 2: ...</v>
          </cell>
          <cell r="F99" t="str">
            <v>CN</v>
          </cell>
          <cell r="H99">
            <v>18.71</v>
          </cell>
          <cell r="I99">
            <v>10</v>
          </cell>
          <cell r="J99">
            <v>187.1</v>
          </cell>
          <cell r="K99" t="str">
            <v>6104.52.0010</v>
          </cell>
          <cell r="L99" t="str">
            <v>6104.52.00.00.00</v>
          </cell>
        </row>
        <row r="100">
          <cell r="B100" t="str">
            <v>W6323R</v>
          </cell>
          <cell r="C100" t="str">
            <v>Women's Skirts</v>
          </cell>
          <cell r="D100" t="str">
            <v>White</v>
          </cell>
          <cell r="E100" t="str">
            <v>SHELL: 100%POLYESTER&gt;LINING: ...</v>
          </cell>
          <cell r="F100" t="str">
            <v>VN</v>
          </cell>
          <cell r="H100">
            <v>12.95</v>
          </cell>
          <cell r="I100">
            <v>14</v>
          </cell>
          <cell r="J100">
            <v>181.3</v>
          </cell>
          <cell r="K100" t="str">
            <v>6104.53.2010</v>
          </cell>
          <cell r="L100" t="str">
            <v>6104.53.00.00.00</v>
          </cell>
        </row>
        <row r="101">
          <cell r="B101" t="str">
            <v>W6323R</v>
          </cell>
          <cell r="C101" t="str">
            <v>Women's Skirts</v>
          </cell>
          <cell r="D101" t="str">
            <v>Black</v>
          </cell>
          <cell r="E101" t="str">
            <v>SHELL: 100%POLYESTER&gt;LINING: ...</v>
          </cell>
          <cell r="F101" t="str">
            <v>VN</v>
          </cell>
          <cell r="H101">
            <v>12.95</v>
          </cell>
          <cell r="I101">
            <v>15</v>
          </cell>
          <cell r="J101">
            <v>194.25</v>
          </cell>
          <cell r="K101" t="str">
            <v>6104.53.2010</v>
          </cell>
          <cell r="L101" t="str">
            <v>6104.53.00.00.00</v>
          </cell>
        </row>
        <row r="102">
          <cell r="B102" t="str">
            <v>W6429R</v>
          </cell>
          <cell r="C102" t="str">
            <v>Women's Skirts</v>
          </cell>
          <cell r="D102" t="str">
            <v>Black/White</v>
          </cell>
          <cell r="E102" t="str">
            <v>LAYER 1: 87%NYLON 13%ELASTAN...</v>
          </cell>
          <cell r="F102" t="str">
            <v>VN</v>
          </cell>
          <cell r="H102">
            <v>15</v>
          </cell>
          <cell r="I102">
            <v>15</v>
          </cell>
          <cell r="J102">
            <v>225</v>
          </cell>
          <cell r="K102" t="str">
            <v>6104.53.2010</v>
          </cell>
          <cell r="L102" t="str">
            <v>6104.53.00.00.00</v>
          </cell>
        </row>
        <row r="103">
          <cell r="B103" t="str">
            <v>W6429R</v>
          </cell>
          <cell r="C103" t="str">
            <v>Women's Skirts</v>
          </cell>
          <cell r="D103" t="str">
            <v>Ivory/Black</v>
          </cell>
          <cell r="E103" t="str">
            <v>LAYER 1: 81%NYLON 19%ELASTAN...</v>
          </cell>
          <cell r="F103" t="str">
            <v>VN</v>
          </cell>
          <cell r="H103">
            <v>15</v>
          </cell>
          <cell r="I103">
            <v>14</v>
          </cell>
          <cell r="J103">
            <v>210</v>
          </cell>
          <cell r="K103" t="str">
            <v>6104.53.2010</v>
          </cell>
          <cell r="L103" t="str">
            <v>6104.53.00.00.00</v>
          </cell>
        </row>
        <row r="104">
          <cell r="B104" t="str">
            <v>W6435R</v>
          </cell>
          <cell r="C104" t="str">
            <v>Women's Skirts</v>
          </cell>
          <cell r="D104" t="str">
            <v>Steel Grey</v>
          </cell>
          <cell r="E104" t="str">
            <v>LAYER 1: 77%POLYESTER 23%ELA...</v>
          </cell>
          <cell r="F104" t="str">
            <v>VN</v>
          </cell>
          <cell r="H104">
            <v>15.16</v>
          </cell>
          <cell r="I104">
            <v>12</v>
          </cell>
          <cell r="J104">
            <v>181.92</v>
          </cell>
          <cell r="K104" t="str">
            <v>6104.53.2010</v>
          </cell>
          <cell r="L104" t="str">
            <v>6104.53.00.00.00</v>
          </cell>
        </row>
        <row r="105">
          <cell r="B105" t="str">
            <v>W51286R</v>
          </cell>
          <cell r="C105" t="str">
            <v>Women's Other Bottoms</v>
          </cell>
          <cell r="D105" t="str">
            <v>Black</v>
          </cell>
          <cell r="E105" t="str">
            <v>BODY: 100%CASHMERE&gt;WAISTBA...</v>
          </cell>
          <cell r="F105" t="str">
            <v>CN</v>
          </cell>
          <cell r="H105">
            <v>77.94</v>
          </cell>
          <cell r="I105">
            <v>10</v>
          </cell>
          <cell r="J105">
            <v>779.4</v>
          </cell>
          <cell r="K105" t="str">
            <v>6104.61.0010</v>
          </cell>
          <cell r="L105" t="str">
            <v>6104.61.00.00.00</v>
          </cell>
        </row>
        <row r="106">
          <cell r="B106" t="str">
            <v>W51286R</v>
          </cell>
          <cell r="C106" t="str">
            <v>Women's Other Bottoms</v>
          </cell>
          <cell r="D106" t="str">
            <v>Espresso</v>
          </cell>
          <cell r="E106" t="str">
            <v>BODY: 100%CASHMERE&gt;CONTRAS...</v>
          </cell>
          <cell r="F106" t="str">
            <v>CN</v>
          </cell>
          <cell r="H106">
            <v>77.94</v>
          </cell>
          <cell r="I106">
            <v>10</v>
          </cell>
          <cell r="J106">
            <v>779.4</v>
          </cell>
          <cell r="K106" t="str">
            <v>6104.61.0010</v>
          </cell>
          <cell r="L106" t="str">
            <v>6104.61.00.00.00</v>
          </cell>
        </row>
        <row r="107">
          <cell r="B107" t="str">
            <v>M5001R</v>
          </cell>
          <cell r="C107" t="str">
            <v>Men's Other Bottoms</v>
          </cell>
          <cell r="D107" t="str">
            <v>Steel Grey Wash</v>
          </cell>
          <cell r="E107" t="str">
            <v>65%COTTON 35%POLYESTER&gt;EXC...</v>
          </cell>
          <cell r="F107" t="str">
            <v>VN</v>
          </cell>
          <cell r="H107">
            <v>20.059999999999999</v>
          </cell>
          <cell r="I107">
            <v>11</v>
          </cell>
          <cell r="J107">
            <v>220.66</v>
          </cell>
          <cell r="K107" t="str">
            <v>6104.62.2011</v>
          </cell>
          <cell r="L107" t="str">
            <v>6104.62.00.00.00</v>
          </cell>
        </row>
        <row r="108">
          <cell r="B108" t="str">
            <v>U5012RG</v>
          </cell>
          <cell r="C108" t="str">
            <v>Unisex Other Bottoms</v>
          </cell>
          <cell r="D108" t="str">
            <v>Black</v>
          </cell>
          <cell r="E108" t="str">
            <v>65%COTTON 35%POLYESTER&gt;EXC...</v>
          </cell>
          <cell r="F108" t="str">
            <v>VN</v>
          </cell>
          <cell r="H108">
            <v>14.85</v>
          </cell>
          <cell r="I108">
            <v>30</v>
          </cell>
          <cell r="J108">
            <v>445.5</v>
          </cell>
          <cell r="K108" t="str">
            <v>6104.62.2011</v>
          </cell>
          <cell r="L108" t="str">
            <v>6104.62.00.00.00</v>
          </cell>
        </row>
        <row r="109">
          <cell r="B109" t="str">
            <v>U5012RG</v>
          </cell>
          <cell r="C109" t="str">
            <v>Unisex Other Bottoms</v>
          </cell>
          <cell r="D109" t="str">
            <v>Athletic Heather Grey</v>
          </cell>
          <cell r="E109" t="str">
            <v>65%COTTON 35%POLYESTER&gt;EXC...</v>
          </cell>
          <cell r="F109" t="str">
            <v>VN</v>
          </cell>
          <cell r="H109">
            <v>14.85</v>
          </cell>
          <cell r="I109">
            <v>24</v>
          </cell>
          <cell r="J109">
            <v>356.4</v>
          </cell>
          <cell r="K109" t="str">
            <v>6104.62.2011</v>
          </cell>
          <cell r="L109" t="str">
            <v>6104.62.00.00.00</v>
          </cell>
        </row>
        <row r="110">
          <cell r="B110" t="str">
            <v>U5012RG</v>
          </cell>
          <cell r="C110" t="str">
            <v>Unisex Other Bottoms</v>
          </cell>
          <cell r="D110" t="str">
            <v>Espresso</v>
          </cell>
          <cell r="E110" t="str">
            <v>65%COTTON 35%POLYESTER&gt;EXC...</v>
          </cell>
          <cell r="F110" t="str">
            <v>VN</v>
          </cell>
          <cell r="H110">
            <v>14.85</v>
          </cell>
          <cell r="I110">
            <v>30</v>
          </cell>
          <cell r="J110">
            <v>445.5</v>
          </cell>
          <cell r="K110" t="str">
            <v>6104.62.2011</v>
          </cell>
          <cell r="L110" t="str">
            <v>6104.62.00.00.00</v>
          </cell>
        </row>
        <row r="111">
          <cell r="B111" t="str">
            <v>U5012RG</v>
          </cell>
          <cell r="C111" t="str">
            <v>Unisex Other Bottoms</v>
          </cell>
          <cell r="D111" t="str">
            <v>Gravel</v>
          </cell>
          <cell r="E111" t="str">
            <v>65%COTTON 35%POLYESTER&gt;EXC...</v>
          </cell>
          <cell r="F111" t="str">
            <v>VN</v>
          </cell>
          <cell r="H111">
            <v>14.85</v>
          </cell>
          <cell r="I111">
            <v>21</v>
          </cell>
          <cell r="J111">
            <v>311.85000000000002</v>
          </cell>
          <cell r="K111" t="str">
            <v>6104.62.2011</v>
          </cell>
          <cell r="L111" t="str">
            <v>6104.62.00.00.00</v>
          </cell>
        </row>
        <row r="112">
          <cell r="B112" t="str">
            <v>U5012RG</v>
          </cell>
          <cell r="C112" t="str">
            <v>Unisex Other Bottoms</v>
          </cell>
          <cell r="D112" t="str">
            <v>Steel Grey</v>
          </cell>
          <cell r="E112" t="str">
            <v>65%COTTON 35%POLYESTER&gt;EXC...</v>
          </cell>
          <cell r="F112" t="str">
            <v>VN</v>
          </cell>
          <cell r="H112">
            <v>14.85</v>
          </cell>
          <cell r="I112">
            <v>30</v>
          </cell>
          <cell r="J112">
            <v>445.5</v>
          </cell>
          <cell r="K112" t="str">
            <v>6104.62.2011</v>
          </cell>
          <cell r="L112" t="str">
            <v>6104.62.00.00.00</v>
          </cell>
        </row>
        <row r="113">
          <cell r="B113" t="str">
            <v>U5013RG</v>
          </cell>
          <cell r="C113" t="str">
            <v>Unisex Other Bottoms</v>
          </cell>
          <cell r="D113" t="str">
            <v>White</v>
          </cell>
          <cell r="E113" t="str">
            <v>65%COTTON 35%POLYESTER&gt;EXC...</v>
          </cell>
          <cell r="F113" t="str">
            <v>VN</v>
          </cell>
          <cell r="H113">
            <v>14.56</v>
          </cell>
          <cell r="I113">
            <v>21</v>
          </cell>
          <cell r="J113">
            <v>305.76</v>
          </cell>
          <cell r="K113" t="str">
            <v>6104.62.2011</v>
          </cell>
          <cell r="L113" t="str">
            <v>6104.62.00.00.00</v>
          </cell>
        </row>
        <row r="114">
          <cell r="B114" t="str">
            <v>U5013RG</v>
          </cell>
          <cell r="C114" t="str">
            <v>Unisex Other Bottoms</v>
          </cell>
          <cell r="D114" t="str">
            <v>Black</v>
          </cell>
          <cell r="E114" t="str">
            <v>65%COTTON 35%POLYESTER&gt;EXC...</v>
          </cell>
          <cell r="F114" t="str">
            <v>VN</v>
          </cell>
          <cell r="H114">
            <v>14.56</v>
          </cell>
          <cell r="I114">
            <v>45</v>
          </cell>
          <cell r="J114">
            <v>655.20000000000005</v>
          </cell>
          <cell r="K114" t="str">
            <v>6104.62.2011</v>
          </cell>
          <cell r="L114" t="str">
            <v>6104.62.00.00.00</v>
          </cell>
        </row>
        <row r="115">
          <cell r="B115" t="str">
            <v>U5013RG</v>
          </cell>
          <cell r="C115" t="str">
            <v>Unisex Other Bottoms</v>
          </cell>
          <cell r="D115" t="str">
            <v>Athletic Heather Grey</v>
          </cell>
          <cell r="E115" t="str">
            <v>65%COTTON 35%POLYESTER&gt;EXC...</v>
          </cell>
          <cell r="F115" t="str">
            <v>VN</v>
          </cell>
          <cell r="H115">
            <v>14.56</v>
          </cell>
          <cell r="I115">
            <v>39</v>
          </cell>
          <cell r="J115">
            <v>567.84</v>
          </cell>
          <cell r="K115" t="str">
            <v>6104.62.2011</v>
          </cell>
          <cell r="L115" t="str">
            <v>6104.62.00.00.00</v>
          </cell>
        </row>
        <row r="116">
          <cell r="B116" t="str">
            <v>U5013RG</v>
          </cell>
          <cell r="C116" t="str">
            <v>Unisex Other Bottoms</v>
          </cell>
          <cell r="D116" t="str">
            <v>Navy</v>
          </cell>
          <cell r="E116" t="str">
            <v>65%COTTON 35%POLYESTER&gt;EXC...</v>
          </cell>
          <cell r="F116" t="str">
            <v>VN</v>
          </cell>
          <cell r="H116">
            <v>14.56</v>
          </cell>
          <cell r="I116">
            <v>52</v>
          </cell>
          <cell r="J116">
            <v>757.12</v>
          </cell>
          <cell r="K116" t="str">
            <v>6104.62.2011</v>
          </cell>
          <cell r="L116" t="str">
            <v>6104.62.00.00.00</v>
          </cell>
        </row>
        <row r="117">
          <cell r="B117" t="str">
            <v>U5013RG</v>
          </cell>
          <cell r="C117" t="str">
            <v>Unisex Other Bottoms</v>
          </cell>
          <cell r="D117" t="str">
            <v>Toasted Almond</v>
          </cell>
          <cell r="E117" t="str">
            <v>65%COTTON 35%POLYESTER&gt;EXC...</v>
          </cell>
          <cell r="F117" t="str">
            <v>VN</v>
          </cell>
          <cell r="H117">
            <v>14.56</v>
          </cell>
          <cell r="I117">
            <v>30</v>
          </cell>
          <cell r="J117">
            <v>436.8</v>
          </cell>
          <cell r="K117" t="str">
            <v>6104.62.2011</v>
          </cell>
          <cell r="L117" t="str">
            <v>6104.62.00.00.00</v>
          </cell>
        </row>
        <row r="118">
          <cell r="B118" t="str">
            <v>U5013RG</v>
          </cell>
          <cell r="C118" t="str">
            <v>Unisex Other Bottoms</v>
          </cell>
          <cell r="D118" t="str">
            <v>Eclipse Blue</v>
          </cell>
          <cell r="E118" t="str">
            <v>65%COTTON 35%POLYESTER&gt;EXC...</v>
          </cell>
          <cell r="F118" t="str">
            <v>VN</v>
          </cell>
          <cell r="H118">
            <v>15.4</v>
          </cell>
          <cell r="I118">
            <v>30</v>
          </cell>
          <cell r="J118">
            <v>462</v>
          </cell>
          <cell r="K118" t="str">
            <v>6104.62.2011</v>
          </cell>
          <cell r="L118" t="str">
            <v>6104.62.00.00.00</v>
          </cell>
        </row>
        <row r="119">
          <cell r="B119" t="str">
            <v>U5014R</v>
          </cell>
          <cell r="C119" t="str">
            <v>Unisex Other Bottoms</v>
          </cell>
          <cell r="D119" t="str">
            <v>Black</v>
          </cell>
          <cell r="E119" t="str">
            <v>78%COTTON 22%POLYESTER&gt;EXC...</v>
          </cell>
          <cell r="F119" t="str">
            <v>VN</v>
          </cell>
          <cell r="H119">
            <v>22.59</v>
          </cell>
          <cell r="I119">
            <v>24</v>
          </cell>
          <cell r="J119">
            <v>542.16</v>
          </cell>
          <cell r="K119" t="str">
            <v>6104.62.2011</v>
          </cell>
          <cell r="L119" t="str">
            <v>6104.62.00.00.00</v>
          </cell>
        </row>
        <row r="120">
          <cell r="B120" t="str">
            <v>U5014R</v>
          </cell>
          <cell r="C120" t="str">
            <v>Unisex Other Bottoms</v>
          </cell>
          <cell r="D120" t="str">
            <v>Athletic Heather Grey</v>
          </cell>
          <cell r="E120" t="str">
            <v>78%COTTON 22%POLYESTER&gt;EXC...</v>
          </cell>
          <cell r="F120" t="str">
            <v>VN</v>
          </cell>
          <cell r="H120">
            <v>22.59</v>
          </cell>
          <cell r="I120">
            <v>24</v>
          </cell>
          <cell r="J120">
            <v>542.16</v>
          </cell>
          <cell r="K120" t="str">
            <v>6104.62.2011</v>
          </cell>
          <cell r="L120" t="str">
            <v>6104.62.00.00.00</v>
          </cell>
        </row>
        <row r="121">
          <cell r="B121" t="str">
            <v>U5018R</v>
          </cell>
          <cell r="C121" t="str">
            <v>Unisex Other Bottoms</v>
          </cell>
          <cell r="D121" t="str">
            <v>Ivory/Bone/Gravel</v>
          </cell>
          <cell r="E121" t="str">
            <v>65%COTTON 35%POLYESTER&gt;EXC...</v>
          </cell>
          <cell r="F121" t="str">
            <v>VN</v>
          </cell>
          <cell r="H121">
            <v>17.29</v>
          </cell>
          <cell r="I121">
            <v>11</v>
          </cell>
          <cell r="J121">
            <v>190.19</v>
          </cell>
          <cell r="K121" t="str">
            <v>6104.62.2011</v>
          </cell>
          <cell r="L121" t="str">
            <v>6104.62.00.00.00</v>
          </cell>
        </row>
        <row r="122">
          <cell r="B122" t="str">
            <v>U5018R</v>
          </cell>
          <cell r="C122" t="str">
            <v>Unisex Other Bottoms</v>
          </cell>
          <cell r="D122" t="str">
            <v>Italian Plum Tonal</v>
          </cell>
          <cell r="E122" t="str">
            <v>65%COTTON 35%POLYESTER&gt;EXC...</v>
          </cell>
          <cell r="F122" t="str">
            <v>VN</v>
          </cell>
          <cell r="H122">
            <v>17.489999999999998</v>
          </cell>
          <cell r="I122">
            <v>10</v>
          </cell>
          <cell r="J122">
            <v>174.9</v>
          </cell>
          <cell r="K122" t="str">
            <v>6104.62.2011</v>
          </cell>
          <cell r="L122" t="str">
            <v>6104.62.00.00.00</v>
          </cell>
        </row>
        <row r="123">
          <cell r="B123" t="str">
            <v>U5012RG</v>
          </cell>
          <cell r="C123" t="str">
            <v>Unisex Other Bottoms</v>
          </cell>
          <cell r="D123" t="str">
            <v>Espresso</v>
          </cell>
          <cell r="E123" t="str">
            <v>65%COTTON 35%POLYESTER&gt;EXC...</v>
          </cell>
          <cell r="F123" t="str">
            <v>VN</v>
          </cell>
          <cell r="H123">
            <v>10.66</v>
          </cell>
          <cell r="I123">
            <v>70</v>
          </cell>
          <cell r="J123">
            <v>746.2</v>
          </cell>
          <cell r="K123" t="str">
            <v>6104.62.2011</v>
          </cell>
          <cell r="L123" t="str">
            <v>6104.62.00.00.00</v>
          </cell>
        </row>
        <row r="124">
          <cell r="B124" t="str">
            <v>U5012RG</v>
          </cell>
          <cell r="C124" t="str">
            <v>Unisex Other Bottoms</v>
          </cell>
          <cell r="D124" t="str">
            <v>Oatmeal Heather</v>
          </cell>
          <cell r="E124" t="str">
            <v>65%COTTON 35%POLYESTER&gt;EXC...</v>
          </cell>
          <cell r="F124" t="str">
            <v>VN</v>
          </cell>
          <cell r="H124">
            <v>13.86</v>
          </cell>
          <cell r="I124">
            <v>8</v>
          </cell>
          <cell r="J124">
            <v>110.88</v>
          </cell>
          <cell r="K124" t="str">
            <v>6104.62.2011</v>
          </cell>
          <cell r="L124" t="str">
            <v>6104.62.00.00.00</v>
          </cell>
        </row>
        <row r="125">
          <cell r="B125" t="str">
            <v>U5012RG</v>
          </cell>
          <cell r="C125" t="str">
            <v>Unisex Other Bottoms</v>
          </cell>
          <cell r="D125" t="str">
            <v>Black</v>
          </cell>
          <cell r="E125" t="str">
            <v>65%COTTON 35%POLYESTER&gt;EXC...</v>
          </cell>
          <cell r="F125" t="str">
            <v>NI</v>
          </cell>
          <cell r="H125">
            <v>13.86</v>
          </cell>
          <cell r="I125">
            <v>78</v>
          </cell>
          <cell r="J125">
            <v>1081.08</v>
          </cell>
          <cell r="K125" t="str">
            <v>6104.62.2011</v>
          </cell>
          <cell r="L125" t="str">
            <v>6104.62.00.00.00</v>
          </cell>
        </row>
        <row r="126">
          <cell r="B126" t="str">
            <v>U5013RG</v>
          </cell>
          <cell r="C126" t="str">
            <v>Unisex Other Bottoms</v>
          </cell>
          <cell r="D126" t="str">
            <v>Black</v>
          </cell>
          <cell r="E126" t="str">
            <v>65%COTTON 35%POLYESTER&gt;EXC...</v>
          </cell>
          <cell r="F126" t="str">
            <v>NI</v>
          </cell>
          <cell r="H126">
            <v>13.36</v>
          </cell>
          <cell r="I126">
            <v>252</v>
          </cell>
          <cell r="J126">
            <v>3366.72</v>
          </cell>
          <cell r="K126" t="str">
            <v>6104.62.2011</v>
          </cell>
          <cell r="L126" t="str">
            <v>6104.62.00.00.00</v>
          </cell>
        </row>
        <row r="127">
          <cell r="B127" t="str">
            <v>U5018R</v>
          </cell>
          <cell r="C127" t="str">
            <v>Unisex Other Bottoms</v>
          </cell>
          <cell r="D127" t="str">
            <v>Athletic Heather Grey Tonal</v>
          </cell>
          <cell r="E127" t="str">
            <v>BODY: 65%COTTON 35%POLYESTE...</v>
          </cell>
          <cell r="F127" t="str">
            <v>VN</v>
          </cell>
          <cell r="H127">
            <v>22.48</v>
          </cell>
          <cell r="I127">
            <v>18</v>
          </cell>
          <cell r="J127">
            <v>404.64</v>
          </cell>
          <cell r="K127" t="str">
            <v>6104.62.2011</v>
          </cell>
          <cell r="L127" t="str">
            <v>6104.62.00.00.00</v>
          </cell>
        </row>
        <row r="128">
          <cell r="B128" t="str">
            <v>W6417R</v>
          </cell>
          <cell r="C128" t="str">
            <v>Women's Shorts</v>
          </cell>
          <cell r="D128" t="str">
            <v>Athletic Heather Grey</v>
          </cell>
          <cell r="E128" t="str">
            <v>BODY: 65%COTTON 35%POLYESTE...</v>
          </cell>
          <cell r="F128" t="str">
            <v>VN</v>
          </cell>
          <cell r="H128">
            <v>12.16</v>
          </cell>
          <cell r="I128">
            <v>15</v>
          </cell>
          <cell r="J128">
            <v>182.4</v>
          </cell>
          <cell r="K128" t="str">
            <v>6104.62.2030</v>
          </cell>
          <cell r="L128" t="str">
            <v>6104.62.00.00.00</v>
          </cell>
        </row>
        <row r="129">
          <cell r="B129" t="str">
            <v>W6417R</v>
          </cell>
          <cell r="C129" t="str">
            <v>Women's Shorts</v>
          </cell>
          <cell r="D129" t="str">
            <v>Ivory</v>
          </cell>
          <cell r="E129" t="str">
            <v>BODY: 65%COTTON 35%POLYESTE...</v>
          </cell>
          <cell r="F129" t="str">
            <v>VN</v>
          </cell>
          <cell r="H129">
            <v>12.16</v>
          </cell>
          <cell r="I129">
            <v>15</v>
          </cell>
          <cell r="J129">
            <v>182.4</v>
          </cell>
          <cell r="K129" t="str">
            <v>6104.62.2030</v>
          </cell>
          <cell r="L129" t="str">
            <v>6104.62.00.00.00</v>
          </cell>
        </row>
        <row r="130">
          <cell r="B130" t="str">
            <v>W51104R</v>
          </cell>
          <cell r="C130" t="str">
            <v>Women's 7/8 Leggings</v>
          </cell>
          <cell r="D130" t="str">
            <v>Black</v>
          </cell>
          <cell r="E130" t="str">
            <v>87%POLYESTER 13%ELASTANE</v>
          </cell>
          <cell r="F130" t="str">
            <v>VN</v>
          </cell>
          <cell r="H130">
            <v>9.66</v>
          </cell>
          <cell r="I130">
            <v>45</v>
          </cell>
          <cell r="J130">
            <v>434.7</v>
          </cell>
          <cell r="K130" t="str">
            <v>6104.63.2006</v>
          </cell>
          <cell r="L130" t="str">
            <v>6115.22.00.00.00</v>
          </cell>
        </row>
        <row r="131">
          <cell r="B131" t="str">
            <v>W51104R</v>
          </cell>
          <cell r="C131" t="str">
            <v>Women's 7/8 Leggings</v>
          </cell>
          <cell r="D131" t="str">
            <v>Oatmeal Heather</v>
          </cell>
          <cell r="E131" t="str">
            <v>87%POLYESTER 13%ELASTANE</v>
          </cell>
          <cell r="F131" t="str">
            <v>VN</v>
          </cell>
          <cell r="H131">
            <v>9.77</v>
          </cell>
          <cell r="I131">
            <v>18</v>
          </cell>
          <cell r="J131">
            <v>175.86</v>
          </cell>
          <cell r="K131" t="str">
            <v>6104.63.2006</v>
          </cell>
          <cell r="L131" t="str">
            <v>6115.22.00.00.00</v>
          </cell>
        </row>
        <row r="132">
          <cell r="B132" t="str">
            <v>W51118R</v>
          </cell>
          <cell r="C132" t="str">
            <v>Women's Leggings</v>
          </cell>
          <cell r="D132" t="str">
            <v>Black</v>
          </cell>
          <cell r="E132" t="str">
            <v>87%NYLON 13%ELASTANE</v>
          </cell>
          <cell r="F132" t="str">
            <v>VN</v>
          </cell>
          <cell r="H132">
            <v>16.079999999999998</v>
          </cell>
          <cell r="I132">
            <v>29</v>
          </cell>
          <cell r="J132">
            <v>466.32</v>
          </cell>
          <cell r="K132" t="str">
            <v>6104.63.2006</v>
          </cell>
          <cell r="L132" t="str">
            <v>6115.22.00.00.00</v>
          </cell>
        </row>
        <row r="133">
          <cell r="B133" t="str">
            <v>W51119R</v>
          </cell>
          <cell r="C133" t="str">
            <v>Women's 7/8 Leggings</v>
          </cell>
          <cell r="D133" t="str">
            <v>Black</v>
          </cell>
          <cell r="E133" t="str">
            <v>87%NYLON 13%ELASTANE</v>
          </cell>
          <cell r="F133" t="str">
            <v>VN</v>
          </cell>
          <cell r="H133">
            <v>15.52</v>
          </cell>
          <cell r="I133">
            <v>60</v>
          </cell>
          <cell r="J133">
            <v>931.2</v>
          </cell>
          <cell r="K133" t="str">
            <v>6104.63.2006</v>
          </cell>
          <cell r="L133" t="str">
            <v>6115.22.00.00.00</v>
          </cell>
        </row>
        <row r="134">
          <cell r="B134" t="str">
            <v>W51119R</v>
          </cell>
          <cell r="C134" t="str">
            <v>Women's 7/8 Leggings</v>
          </cell>
          <cell r="D134" t="str">
            <v>Navy</v>
          </cell>
          <cell r="E134" t="str">
            <v>87%NYLON 13%ELASTANE</v>
          </cell>
          <cell r="F134" t="str">
            <v>VN</v>
          </cell>
          <cell r="H134">
            <v>15.52</v>
          </cell>
          <cell r="I134">
            <v>29</v>
          </cell>
          <cell r="J134">
            <v>450.08</v>
          </cell>
          <cell r="K134" t="str">
            <v>6104.63.2006</v>
          </cell>
          <cell r="L134" t="str">
            <v>6115.22.00.00.00</v>
          </cell>
        </row>
        <row r="135">
          <cell r="B135" t="str">
            <v>W51154R</v>
          </cell>
          <cell r="C135" t="str">
            <v>Women's 7/8 Leggings</v>
          </cell>
          <cell r="D135" t="str">
            <v>Black</v>
          </cell>
          <cell r="E135" t="str">
            <v>77%POLYESTER 23%ELASTANE&gt;E...</v>
          </cell>
          <cell r="F135" t="str">
            <v>VN</v>
          </cell>
          <cell r="H135">
            <v>19.309999999999999</v>
          </cell>
          <cell r="I135">
            <v>51</v>
          </cell>
          <cell r="J135">
            <v>984.81</v>
          </cell>
          <cell r="K135" t="str">
            <v>6104.63.2006</v>
          </cell>
          <cell r="L135" t="str">
            <v>6115.22.00.00.00</v>
          </cell>
        </row>
        <row r="136">
          <cell r="B136" t="str">
            <v>W51154R</v>
          </cell>
          <cell r="C136" t="str">
            <v>Women's 7/8 Leggings</v>
          </cell>
          <cell r="D136" t="str">
            <v>Navy</v>
          </cell>
          <cell r="E136" t="str">
            <v>77%POLYESTER 23%ELASTANE&gt;E...</v>
          </cell>
          <cell r="F136" t="str">
            <v>VN</v>
          </cell>
          <cell r="H136">
            <v>19.309999999999999</v>
          </cell>
          <cell r="I136">
            <v>40</v>
          </cell>
          <cell r="J136">
            <v>772.4</v>
          </cell>
          <cell r="K136" t="str">
            <v>6104.63.2006</v>
          </cell>
          <cell r="L136" t="str">
            <v>6115.22.00.00.00</v>
          </cell>
        </row>
        <row r="137">
          <cell r="B137" t="str">
            <v>W51154R</v>
          </cell>
          <cell r="C137" t="str">
            <v>Women's 7/8 Leggings</v>
          </cell>
          <cell r="D137" t="str">
            <v>Eclipse Blue</v>
          </cell>
          <cell r="E137" t="str">
            <v>77%POLYESTER 23%ELASTANE&gt;E...</v>
          </cell>
          <cell r="F137" t="str">
            <v>CN</v>
          </cell>
          <cell r="H137">
            <v>19.2</v>
          </cell>
          <cell r="I137">
            <v>24</v>
          </cell>
          <cell r="J137">
            <v>460.8</v>
          </cell>
          <cell r="K137" t="str">
            <v>6104.63.2006</v>
          </cell>
          <cell r="L137" t="str">
            <v>6115.22.00.00.00</v>
          </cell>
        </row>
        <row r="138">
          <cell r="B138" t="str">
            <v>W51207R</v>
          </cell>
          <cell r="C138" t="str">
            <v>Women's Leggings</v>
          </cell>
          <cell r="D138" t="str">
            <v>Black</v>
          </cell>
          <cell r="E138" t="str">
            <v>TOP: 87%NYLON 13%ELASTANE&gt;B...</v>
          </cell>
          <cell r="F138" t="str">
            <v>VN</v>
          </cell>
          <cell r="H138">
            <v>15.5</v>
          </cell>
          <cell r="I138">
            <v>29</v>
          </cell>
          <cell r="J138">
            <v>449.5</v>
          </cell>
          <cell r="K138" t="str">
            <v>6104.63.2006</v>
          </cell>
          <cell r="L138" t="str">
            <v>6115.22.00.00.00</v>
          </cell>
        </row>
        <row r="139">
          <cell r="B139" t="str">
            <v>W51220R</v>
          </cell>
          <cell r="C139" t="str">
            <v>Women's Leggings</v>
          </cell>
          <cell r="D139" t="str">
            <v>Black</v>
          </cell>
          <cell r="E139" t="str">
            <v>83%POLYESTER 17%ELASTANE</v>
          </cell>
          <cell r="F139" t="str">
            <v>VN</v>
          </cell>
          <cell r="H139">
            <v>12.13</v>
          </cell>
          <cell r="I139">
            <v>29</v>
          </cell>
          <cell r="J139">
            <v>351.77</v>
          </cell>
          <cell r="K139" t="str">
            <v>6104.63.2006</v>
          </cell>
          <cell r="L139" t="str">
            <v>6115.22.00.00.00</v>
          </cell>
        </row>
        <row r="140">
          <cell r="B140" t="str">
            <v>W51220R</v>
          </cell>
          <cell r="C140" t="str">
            <v>Women's Leggings</v>
          </cell>
          <cell r="D140" t="str">
            <v>Espresso</v>
          </cell>
          <cell r="E140" t="str">
            <v>83%POLYESTER 17%ELASTANE</v>
          </cell>
          <cell r="F140" t="str">
            <v>VN</v>
          </cell>
          <cell r="H140">
            <v>12.13</v>
          </cell>
          <cell r="I140">
            <v>24</v>
          </cell>
          <cell r="J140">
            <v>291.12</v>
          </cell>
          <cell r="K140" t="str">
            <v>6104.63.2006</v>
          </cell>
          <cell r="L140" t="str">
            <v>6115.22.00.00.00</v>
          </cell>
        </row>
        <row r="141">
          <cell r="B141" t="str">
            <v>W51220R</v>
          </cell>
          <cell r="C141" t="str">
            <v>Women's Leggings</v>
          </cell>
          <cell r="D141" t="str">
            <v>Steel Grey</v>
          </cell>
          <cell r="E141" t="str">
            <v>83%POLYESTER 17%ELASTANE</v>
          </cell>
          <cell r="F141" t="str">
            <v>VN</v>
          </cell>
          <cell r="H141">
            <v>12.13</v>
          </cell>
          <cell r="I141">
            <v>18</v>
          </cell>
          <cell r="J141">
            <v>218.34</v>
          </cell>
          <cell r="K141" t="str">
            <v>6104.63.2006</v>
          </cell>
          <cell r="L141" t="str">
            <v>6115.22.00.00.00</v>
          </cell>
        </row>
        <row r="142">
          <cell r="B142" t="str">
            <v>W51298R</v>
          </cell>
          <cell r="C142" t="str">
            <v>Women's Leggings</v>
          </cell>
          <cell r="D142" t="str">
            <v>White/Black</v>
          </cell>
          <cell r="E142" t="str">
            <v>81%NYLON 19%ELASTANE&gt;EXCLU...</v>
          </cell>
          <cell r="F142" t="str">
            <v>VN</v>
          </cell>
          <cell r="H142">
            <v>20.38</v>
          </cell>
          <cell r="I142">
            <v>15</v>
          </cell>
          <cell r="J142">
            <v>305.7</v>
          </cell>
          <cell r="K142" t="str">
            <v>6104.63.2006</v>
          </cell>
          <cell r="L142" t="str">
            <v>6115.22.00.00.00</v>
          </cell>
        </row>
        <row r="143">
          <cell r="B143" t="str">
            <v>W51298R</v>
          </cell>
          <cell r="C143" t="str">
            <v>Women's Leggings</v>
          </cell>
          <cell r="D143" t="str">
            <v>Black/White</v>
          </cell>
          <cell r="E143" t="str">
            <v>87%NYLON 13%ELASTANE&gt;EXCLU...</v>
          </cell>
          <cell r="F143" t="str">
            <v>VN</v>
          </cell>
          <cell r="H143">
            <v>20.38</v>
          </cell>
          <cell r="I143">
            <v>29</v>
          </cell>
          <cell r="J143">
            <v>591.02</v>
          </cell>
          <cell r="K143" t="str">
            <v>6104.63.2006</v>
          </cell>
          <cell r="L143" t="str">
            <v>6115.22.00.00.00</v>
          </cell>
        </row>
        <row r="144">
          <cell r="B144" t="str">
            <v>W51298R</v>
          </cell>
          <cell r="C144" t="str">
            <v>Women's Leggings</v>
          </cell>
          <cell r="D144" t="str">
            <v>Steel Grey/White</v>
          </cell>
          <cell r="E144" t="str">
            <v>87%NYLON 13%ELASTANE&gt;EXCLU...</v>
          </cell>
          <cell r="F144" t="str">
            <v>VN</v>
          </cell>
          <cell r="H144">
            <v>20.39</v>
          </cell>
          <cell r="I144">
            <v>24</v>
          </cell>
          <cell r="J144">
            <v>489.36</v>
          </cell>
          <cell r="K144" t="str">
            <v>6104.63.2006</v>
          </cell>
          <cell r="L144" t="str">
            <v>6115.22.00.00.00</v>
          </cell>
        </row>
        <row r="145">
          <cell r="B145" t="str">
            <v>W51304R</v>
          </cell>
          <cell r="C145" t="str">
            <v>Women's Other Bottoms</v>
          </cell>
          <cell r="D145" t="str">
            <v>Black</v>
          </cell>
          <cell r="E145" t="str">
            <v>47%MODAL 47%COTTON 6%ELASTANE</v>
          </cell>
          <cell r="F145" t="str">
            <v>VN</v>
          </cell>
          <cell r="H145">
            <v>12.28</v>
          </cell>
          <cell r="I145">
            <v>21</v>
          </cell>
          <cell r="J145">
            <v>257.88</v>
          </cell>
          <cell r="K145" t="str">
            <v>6104.63.2006</v>
          </cell>
          <cell r="L145" t="str">
            <v>6104.63.00.00.00</v>
          </cell>
        </row>
        <row r="146">
          <cell r="B146" t="str">
            <v>W51304R</v>
          </cell>
          <cell r="C146" t="str">
            <v>Women's Other Bottoms</v>
          </cell>
          <cell r="D146" t="str">
            <v>Athletic Heather Grey</v>
          </cell>
          <cell r="E146" t="str">
            <v>47%MODAL 47%COTTON 6%ELASTANE</v>
          </cell>
          <cell r="F146" t="str">
            <v>VN</v>
          </cell>
          <cell r="H146">
            <v>12.28</v>
          </cell>
          <cell r="I146">
            <v>15</v>
          </cell>
          <cell r="J146">
            <v>184.2</v>
          </cell>
          <cell r="K146" t="str">
            <v>6104.63.2006</v>
          </cell>
          <cell r="L146" t="str">
            <v>6104.63.00.00.00</v>
          </cell>
        </row>
        <row r="147">
          <cell r="B147" t="str">
            <v>W51353R</v>
          </cell>
          <cell r="C147" t="str">
            <v>Women's Other Bottoms</v>
          </cell>
          <cell r="D147" t="str">
            <v>Athletic Heather Grey</v>
          </cell>
          <cell r="E147" t="str">
            <v>88%POLYESTER 7%NYLON 5%ELA...</v>
          </cell>
          <cell r="F147" t="str">
            <v>CN</v>
          </cell>
          <cell r="H147">
            <v>18.23</v>
          </cell>
          <cell r="I147">
            <v>29</v>
          </cell>
          <cell r="J147">
            <v>528.66999999999996</v>
          </cell>
          <cell r="K147" t="str">
            <v>6104.63.2006</v>
          </cell>
          <cell r="L147" t="str">
            <v>6104.63.00.00.00</v>
          </cell>
        </row>
        <row r="148">
          <cell r="B148" t="str">
            <v>W51353R</v>
          </cell>
          <cell r="C148" t="str">
            <v>Women's Other Bottoms</v>
          </cell>
          <cell r="D148" t="str">
            <v>Ivory</v>
          </cell>
          <cell r="E148" t="str">
            <v>88%POLYESTER 7%NYLON 5%ELA...</v>
          </cell>
          <cell r="F148" t="str">
            <v>CN</v>
          </cell>
          <cell r="H148">
            <v>18.23</v>
          </cell>
          <cell r="I148">
            <v>29</v>
          </cell>
          <cell r="J148">
            <v>528.66999999999996</v>
          </cell>
          <cell r="K148" t="str">
            <v>6104.63.2006</v>
          </cell>
          <cell r="L148" t="str">
            <v>6104.63.00.00.00</v>
          </cell>
        </row>
        <row r="149">
          <cell r="B149" t="str">
            <v>W51361R</v>
          </cell>
          <cell r="C149" t="str">
            <v>Women's 7/8 Leggings</v>
          </cell>
          <cell r="D149" t="str">
            <v>Black</v>
          </cell>
          <cell r="E149" t="str">
            <v>77%POLYESTER 23%ELASTANE</v>
          </cell>
          <cell r="F149" t="str">
            <v>CN</v>
          </cell>
          <cell r="H149">
            <v>13.38</v>
          </cell>
          <cell r="I149">
            <v>29</v>
          </cell>
          <cell r="J149">
            <v>388.02</v>
          </cell>
          <cell r="K149" t="str">
            <v>6104.63.2006</v>
          </cell>
          <cell r="L149" t="str">
            <v>6115.22.00.00.00</v>
          </cell>
        </row>
        <row r="150">
          <cell r="B150" t="str">
            <v>W51361R</v>
          </cell>
          <cell r="C150" t="str">
            <v>Women's 7/8 Leggings</v>
          </cell>
          <cell r="D150" t="str">
            <v>Navy</v>
          </cell>
          <cell r="E150" t="str">
            <v>77%POLYESTER 23%ELASTANE</v>
          </cell>
          <cell r="F150" t="str">
            <v>CN</v>
          </cell>
          <cell r="H150">
            <v>13.38</v>
          </cell>
          <cell r="I150">
            <v>29</v>
          </cell>
          <cell r="J150">
            <v>388.02</v>
          </cell>
          <cell r="K150" t="str">
            <v>6104.63.2006</v>
          </cell>
          <cell r="L150" t="str">
            <v>6115.22.00.00.00</v>
          </cell>
        </row>
        <row r="151">
          <cell r="B151" t="str">
            <v>W51417R</v>
          </cell>
          <cell r="C151" t="str">
            <v>Women's Leggings</v>
          </cell>
          <cell r="D151" t="str">
            <v>Black/White</v>
          </cell>
          <cell r="E151" t="str">
            <v>87%POLYESTER 13%ELASTANE</v>
          </cell>
          <cell r="F151" t="str">
            <v>VN</v>
          </cell>
          <cell r="H151">
            <v>19.03</v>
          </cell>
          <cell r="I151">
            <v>18</v>
          </cell>
          <cell r="J151">
            <v>342.54</v>
          </cell>
          <cell r="K151" t="str">
            <v>6104.63.2006</v>
          </cell>
          <cell r="L151" t="str">
            <v>6115.22.00.00.00</v>
          </cell>
        </row>
        <row r="152">
          <cell r="B152" t="str">
            <v>W51428R</v>
          </cell>
          <cell r="C152" t="str">
            <v>Women's Leggings</v>
          </cell>
          <cell r="D152" t="str">
            <v>Black/White</v>
          </cell>
          <cell r="E152" t="str">
            <v>82%POLYESTER 18%ELASTANE&gt;E...</v>
          </cell>
          <cell r="F152" t="str">
            <v>VN</v>
          </cell>
          <cell r="H152">
            <v>12.58</v>
          </cell>
          <cell r="I152">
            <v>45</v>
          </cell>
          <cell r="J152">
            <v>566.1</v>
          </cell>
          <cell r="K152" t="str">
            <v>6104.63.2006</v>
          </cell>
          <cell r="L152" t="str">
            <v>6115.22.00.00.00</v>
          </cell>
        </row>
        <row r="153">
          <cell r="B153" t="str">
            <v>W51428R</v>
          </cell>
          <cell r="C153" t="str">
            <v>Women's Leggings</v>
          </cell>
          <cell r="D153" t="str">
            <v>Espresso</v>
          </cell>
          <cell r="E153" t="str">
            <v>82%POLYESTER 18%ELASTANE&gt;E...</v>
          </cell>
          <cell r="F153" t="str">
            <v>KH</v>
          </cell>
          <cell r="H153">
            <v>12.58</v>
          </cell>
          <cell r="I153">
            <v>29</v>
          </cell>
          <cell r="J153">
            <v>364.82</v>
          </cell>
          <cell r="K153" t="str">
            <v>6104.63.2006</v>
          </cell>
          <cell r="L153" t="str">
            <v>6115.22.00.00.00</v>
          </cell>
        </row>
        <row r="154">
          <cell r="B154" t="str">
            <v>W5473R</v>
          </cell>
          <cell r="C154" t="str">
            <v>Women's Leggings</v>
          </cell>
          <cell r="D154" t="str">
            <v>Black</v>
          </cell>
          <cell r="E154" t="str">
            <v>87%NYLON 13%ELASTANE</v>
          </cell>
          <cell r="F154" t="str">
            <v>KH</v>
          </cell>
          <cell r="H154">
            <v>10.6</v>
          </cell>
          <cell r="I154">
            <v>30</v>
          </cell>
          <cell r="J154">
            <v>318</v>
          </cell>
          <cell r="K154" t="str">
            <v>6104.63.2006</v>
          </cell>
          <cell r="L154" t="str">
            <v>6115.22.00.00.00</v>
          </cell>
        </row>
        <row r="155">
          <cell r="B155" t="str">
            <v>W5473R</v>
          </cell>
          <cell r="C155" t="str">
            <v>Women's Leggings</v>
          </cell>
          <cell r="D155" t="str">
            <v>Ivory</v>
          </cell>
          <cell r="E155" t="str">
            <v>81%NYLON 19%ELASTANE</v>
          </cell>
          <cell r="F155" t="str">
            <v>KH</v>
          </cell>
          <cell r="H155">
            <v>10.6</v>
          </cell>
          <cell r="I155">
            <v>29</v>
          </cell>
          <cell r="J155">
            <v>307.39999999999998</v>
          </cell>
          <cell r="K155" t="str">
            <v>6104.63.2006</v>
          </cell>
          <cell r="L155" t="str">
            <v>6115.22.00.00.00</v>
          </cell>
        </row>
        <row r="156">
          <cell r="B156" t="str">
            <v>W5475R</v>
          </cell>
          <cell r="C156" t="str">
            <v>Women's Capris</v>
          </cell>
          <cell r="D156" t="str">
            <v>Black</v>
          </cell>
          <cell r="E156" t="str">
            <v>87%NYLON 13%ELASTANE</v>
          </cell>
          <cell r="F156" t="str">
            <v>KH</v>
          </cell>
          <cell r="H156">
            <v>10.45</v>
          </cell>
          <cell r="I156">
            <v>29</v>
          </cell>
          <cell r="J156">
            <v>303.05</v>
          </cell>
          <cell r="K156" t="str">
            <v>6104.63.2006</v>
          </cell>
          <cell r="L156" t="str">
            <v>6104.63.00.00.00</v>
          </cell>
        </row>
        <row r="157">
          <cell r="B157" t="str">
            <v>W5561R</v>
          </cell>
          <cell r="C157" t="str">
            <v>Women's Leggings</v>
          </cell>
          <cell r="D157" t="str">
            <v>Black</v>
          </cell>
          <cell r="E157" t="str">
            <v>82%POLYESTER 18%ELASTANE</v>
          </cell>
          <cell r="F157" t="str">
            <v>KH</v>
          </cell>
          <cell r="H157">
            <v>9.77</v>
          </cell>
          <cell r="I157">
            <v>35</v>
          </cell>
          <cell r="J157">
            <v>341.95</v>
          </cell>
          <cell r="K157" t="str">
            <v>6104.63.2006</v>
          </cell>
          <cell r="L157" t="str">
            <v>6115.22.00.00.00</v>
          </cell>
        </row>
        <row r="158">
          <cell r="B158" t="str">
            <v>W5561R</v>
          </cell>
          <cell r="C158" t="str">
            <v>Women's Leggings</v>
          </cell>
          <cell r="D158" t="str">
            <v>Eclipse Blue</v>
          </cell>
          <cell r="E158" t="str">
            <v>77%POLYESTER 23%ELASTANE</v>
          </cell>
          <cell r="F158" t="str">
            <v>VN</v>
          </cell>
          <cell r="H158">
            <v>10.119999999999999</v>
          </cell>
          <cell r="I158">
            <v>35</v>
          </cell>
          <cell r="J158">
            <v>354.2</v>
          </cell>
          <cell r="K158" t="str">
            <v>6104.63.2006</v>
          </cell>
          <cell r="L158" t="str">
            <v>6115.22.00.00.00</v>
          </cell>
        </row>
        <row r="159">
          <cell r="B159" t="str">
            <v>W5604R</v>
          </cell>
          <cell r="C159" t="str">
            <v>Women's 7/8 Leggings</v>
          </cell>
          <cell r="D159" t="str">
            <v>White</v>
          </cell>
          <cell r="E159" t="str">
            <v>81%NYLON 19%ELASTANE</v>
          </cell>
          <cell r="F159" t="str">
            <v>VN</v>
          </cell>
          <cell r="H159">
            <v>10.47</v>
          </cell>
          <cell r="I159">
            <v>29</v>
          </cell>
          <cell r="J159">
            <v>303.63</v>
          </cell>
          <cell r="K159" t="str">
            <v>6104.63.2006</v>
          </cell>
          <cell r="L159" t="str">
            <v>6115.22.00.00.00</v>
          </cell>
        </row>
        <row r="160">
          <cell r="B160" t="str">
            <v>W5604R</v>
          </cell>
          <cell r="C160" t="str">
            <v>Women's 7/8 Leggings</v>
          </cell>
          <cell r="D160" t="str">
            <v>Black</v>
          </cell>
          <cell r="E160" t="str">
            <v>87%NYLON 13%ELASTANE</v>
          </cell>
          <cell r="F160" t="str">
            <v>VN</v>
          </cell>
          <cell r="H160">
            <v>10.47</v>
          </cell>
          <cell r="I160">
            <v>60</v>
          </cell>
          <cell r="J160">
            <v>628.20000000000005</v>
          </cell>
          <cell r="K160" t="str">
            <v>6104.63.2006</v>
          </cell>
          <cell r="L160" t="str">
            <v>6115.22.00.00.00</v>
          </cell>
        </row>
        <row r="161">
          <cell r="B161" t="str">
            <v>W5630R</v>
          </cell>
          <cell r="C161" t="str">
            <v>Women's Capris</v>
          </cell>
          <cell r="D161" t="str">
            <v>Black</v>
          </cell>
          <cell r="E161" t="str">
            <v>82%POLYESTER 18%ELASTANE</v>
          </cell>
          <cell r="F161" t="str">
            <v>VN</v>
          </cell>
          <cell r="H161">
            <v>9.0399999999999991</v>
          </cell>
          <cell r="I161">
            <v>40</v>
          </cell>
          <cell r="J161">
            <v>361.6</v>
          </cell>
          <cell r="K161" t="str">
            <v>6104.63.2006</v>
          </cell>
          <cell r="L161" t="str">
            <v>6104.63.00.00.00</v>
          </cell>
        </row>
        <row r="162">
          <cell r="B162" t="str">
            <v>W5762R</v>
          </cell>
          <cell r="C162" t="str">
            <v>Women's Leggings</v>
          </cell>
          <cell r="D162" t="str">
            <v>Black</v>
          </cell>
          <cell r="E162" t="str">
            <v>BODY: 87%POLYESTER 13%ELAST...</v>
          </cell>
          <cell r="F162" t="str">
            <v>VN</v>
          </cell>
          <cell r="H162">
            <v>12.32</v>
          </cell>
          <cell r="I162">
            <v>45</v>
          </cell>
          <cell r="J162">
            <v>554.4</v>
          </cell>
          <cell r="K162" t="str">
            <v>6104.63.2006</v>
          </cell>
          <cell r="L162" t="str">
            <v>6115.22.00.00.00</v>
          </cell>
        </row>
        <row r="163">
          <cell r="B163" t="str">
            <v>W5762R</v>
          </cell>
          <cell r="C163" t="str">
            <v>Women's Leggings</v>
          </cell>
          <cell r="D163" t="str">
            <v>Athletic Heather Grey</v>
          </cell>
          <cell r="E163" t="str">
            <v>BODY: 87%POLYESTER 13%ELAST...</v>
          </cell>
          <cell r="F163" t="str">
            <v>VN</v>
          </cell>
          <cell r="H163">
            <v>12.32</v>
          </cell>
          <cell r="I163">
            <v>24</v>
          </cell>
          <cell r="J163">
            <v>295.68</v>
          </cell>
          <cell r="K163" t="str">
            <v>6104.63.2006</v>
          </cell>
          <cell r="L163" t="str">
            <v>6115.22.00.00.00</v>
          </cell>
        </row>
        <row r="164">
          <cell r="B164" t="str">
            <v>W5766R</v>
          </cell>
          <cell r="C164" t="str">
            <v>Women's 7/8 Leggings</v>
          </cell>
          <cell r="D164" t="str">
            <v>Black</v>
          </cell>
          <cell r="E164" t="str">
            <v>77%POLYESTER 23%ELASTANE</v>
          </cell>
          <cell r="F164" t="str">
            <v>VN</v>
          </cell>
          <cell r="H164">
            <v>9.7100000000000009</v>
          </cell>
          <cell r="I164">
            <v>80</v>
          </cell>
          <cell r="J164">
            <v>776.8</v>
          </cell>
          <cell r="K164" t="str">
            <v>6104.63.2006</v>
          </cell>
          <cell r="L164" t="str">
            <v>6115.22.00.00.00</v>
          </cell>
        </row>
        <row r="165">
          <cell r="B165" t="str">
            <v>W5766R</v>
          </cell>
          <cell r="C165" t="str">
            <v>Women's 7/8 Leggings</v>
          </cell>
          <cell r="D165" t="str">
            <v>Navy</v>
          </cell>
          <cell r="E165" t="str">
            <v>77%POLYESTER 23%ELASTANE</v>
          </cell>
          <cell r="F165" t="str">
            <v>VN</v>
          </cell>
          <cell r="H165">
            <v>9.7100000000000009</v>
          </cell>
          <cell r="I165">
            <v>60</v>
          </cell>
          <cell r="J165">
            <v>582.6</v>
          </cell>
          <cell r="K165" t="str">
            <v>6104.63.2006</v>
          </cell>
          <cell r="L165" t="str">
            <v>6115.22.00.00.00</v>
          </cell>
        </row>
        <row r="166">
          <cell r="B166" t="str">
            <v>W5766R</v>
          </cell>
          <cell r="C166" t="str">
            <v>Women's 7/8 Leggings</v>
          </cell>
          <cell r="D166" t="str">
            <v>Espresso</v>
          </cell>
          <cell r="E166" t="str">
            <v>77%POLYESTER 23%ELASTANE</v>
          </cell>
          <cell r="F166" t="str">
            <v>VN</v>
          </cell>
          <cell r="H166">
            <v>9.7100000000000009</v>
          </cell>
          <cell r="I166">
            <v>51</v>
          </cell>
          <cell r="J166">
            <v>495.21</v>
          </cell>
          <cell r="K166" t="str">
            <v>6104.63.2006</v>
          </cell>
          <cell r="L166" t="str">
            <v>6115.22.00.00.00</v>
          </cell>
        </row>
        <row r="167">
          <cell r="B167" t="str">
            <v>W5766R</v>
          </cell>
          <cell r="C167" t="str">
            <v>Women's 7/8 Leggings</v>
          </cell>
          <cell r="D167" t="str">
            <v>Toasted Almond</v>
          </cell>
          <cell r="E167" t="str">
            <v>77%POLYESTER 23%ELASTANE</v>
          </cell>
          <cell r="F167" t="str">
            <v>VN</v>
          </cell>
          <cell r="H167">
            <v>10.11</v>
          </cell>
          <cell r="I167">
            <v>24</v>
          </cell>
          <cell r="J167">
            <v>242.64</v>
          </cell>
          <cell r="K167" t="str">
            <v>6104.63.2006</v>
          </cell>
          <cell r="L167" t="str">
            <v>6115.22.00.00.00</v>
          </cell>
        </row>
        <row r="168">
          <cell r="B168" t="str">
            <v>W5766R</v>
          </cell>
          <cell r="C168" t="str">
            <v>Women's 7/8 Leggings</v>
          </cell>
          <cell r="D168" t="str">
            <v>Gravel</v>
          </cell>
          <cell r="E168" t="str">
            <v>77%POLYESTER 23%ELASTANE</v>
          </cell>
          <cell r="F168" t="str">
            <v>VN</v>
          </cell>
          <cell r="H168">
            <v>9.7100000000000009</v>
          </cell>
          <cell r="I168">
            <v>29</v>
          </cell>
          <cell r="J168">
            <v>281.58999999999997</v>
          </cell>
          <cell r="K168" t="str">
            <v>6104.63.2006</v>
          </cell>
          <cell r="L168" t="str">
            <v>6115.22.00.00.00</v>
          </cell>
        </row>
        <row r="169">
          <cell r="B169" t="str">
            <v>W5766R</v>
          </cell>
          <cell r="C169" t="str">
            <v>Women's 7/8 Leggings</v>
          </cell>
          <cell r="D169" t="str">
            <v>Steel Grey</v>
          </cell>
          <cell r="E169" t="str">
            <v>77%POLYESTER 23%ELASTANE</v>
          </cell>
          <cell r="F169" t="str">
            <v>VN</v>
          </cell>
          <cell r="H169">
            <v>9.75</v>
          </cell>
          <cell r="I169">
            <v>29</v>
          </cell>
          <cell r="J169">
            <v>282.75</v>
          </cell>
          <cell r="K169" t="str">
            <v>6104.63.2006</v>
          </cell>
          <cell r="L169" t="str">
            <v>6115.22.00.00.00</v>
          </cell>
        </row>
        <row r="170">
          <cell r="B170" t="str">
            <v>W5784R</v>
          </cell>
          <cell r="C170" t="str">
            <v>Women's Other Bottoms</v>
          </cell>
          <cell r="D170" t="str">
            <v>Black</v>
          </cell>
          <cell r="E170" t="str">
            <v>74%POLYESTER 21%VISCOSE 5%E...</v>
          </cell>
          <cell r="F170" t="str">
            <v>VN</v>
          </cell>
          <cell r="H170">
            <v>14.01</v>
          </cell>
          <cell r="I170">
            <v>45</v>
          </cell>
          <cell r="J170">
            <v>630.45000000000005</v>
          </cell>
          <cell r="K170" t="str">
            <v>6104.63.2006</v>
          </cell>
          <cell r="L170" t="str">
            <v>6104.63.00.00.00</v>
          </cell>
        </row>
        <row r="171">
          <cell r="B171" t="str">
            <v>W5784R</v>
          </cell>
          <cell r="C171" t="str">
            <v>Women's Other Bottoms</v>
          </cell>
          <cell r="D171" t="str">
            <v>Gravel Heather</v>
          </cell>
          <cell r="E171" t="str">
            <v>74%POLYESTER 21%VISCOSE 5%E...</v>
          </cell>
          <cell r="F171" t="str">
            <v>VN</v>
          </cell>
          <cell r="H171">
            <v>14.01</v>
          </cell>
          <cell r="I171">
            <v>35</v>
          </cell>
          <cell r="J171">
            <v>490.35</v>
          </cell>
          <cell r="K171" t="str">
            <v>6104.63.2006</v>
          </cell>
          <cell r="L171" t="str">
            <v>6104.63.00.00.00</v>
          </cell>
        </row>
        <row r="172">
          <cell r="B172" t="str">
            <v>W5784R</v>
          </cell>
          <cell r="C172" t="str">
            <v>Women's Other Bottoms</v>
          </cell>
          <cell r="D172" t="str">
            <v>Ivory</v>
          </cell>
          <cell r="E172" t="str">
            <v>74%POLYESTER 21%VISCOSE 5%E...</v>
          </cell>
          <cell r="F172" t="str">
            <v>VN</v>
          </cell>
          <cell r="H172">
            <v>14.01</v>
          </cell>
          <cell r="I172">
            <v>35</v>
          </cell>
          <cell r="J172">
            <v>490.35</v>
          </cell>
          <cell r="K172" t="str">
            <v>6104.63.2006</v>
          </cell>
          <cell r="L172" t="str">
            <v>6104.63.00.00.00</v>
          </cell>
        </row>
        <row r="173">
          <cell r="B173" t="str">
            <v>W5784R</v>
          </cell>
          <cell r="C173" t="str">
            <v>Women's Other Bottoms</v>
          </cell>
          <cell r="D173" t="str">
            <v>Navy</v>
          </cell>
          <cell r="E173" t="str">
            <v>74%POLYESTER 21%VISCOSE 5%E...</v>
          </cell>
          <cell r="F173" t="str">
            <v>VN</v>
          </cell>
          <cell r="H173">
            <v>14.01</v>
          </cell>
          <cell r="I173">
            <v>29</v>
          </cell>
          <cell r="J173">
            <v>406.29</v>
          </cell>
          <cell r="K173" t="str">
            <v>6104.63.2006</v>
          </cell>
          <cell r="L173" t="str">
            <v>6104.63.00.00.00</v>
          </cell>
        </row>
        <row r="174">
          <cell r="B174" t="str">
            <v>W5784R</v>
          </cell>
          <cell r="C174" t="str">
            <v>Women's Other Bottoms</v>
          </cell>
          <cell r="D174" t="str">
            <v>Steel Grey Heather</v>
          </cell>
          <cell r="E174" t="str">
            <v>74%POLYESTER 21%RAYON 5%EL...</v>
          </cell>
          <cell r="F174" t="str">
            <v>CN</v>
          </cell>
          <cell r="H174">
            <v>14.01</v>
          </cell>
          <cell r="I174">
            <v>24</v>
          </cell>
          <cell r="J174">
            <v>336.24</v>
          </cell>
          <cell r="K174" t="str">
            <v>6104.63.2006</v>
          </cell>
          <cell r="L174" t="str">
            <v>6104.63.00.00.00</v>
          </cell>
        </row>
        <row r="175">
          <cell r="B175" t="str">
            <v>W5912R</v>
          </cell>
          <cell r="C175" t="str">
            <v>Women's Other Bottoms</v>
          </cell>
          <cell r="D175" t="str">
            <v>Black</v>
          </cell>
          <cell r="E175" t="str">
            <v>63%POLYESTER 34%VISCOSE 3%ELASTANE</v>
          </cell>
          <cell r="F175" t="str">
            <v>CN</v>
          </cell>
          <cell r="H175">
            <v>12.79</v>
          </cell>
          <cell r="I175">
            <v>45</v>
          </cell>
          <cell r="J175">
            <v>575.54999999999995</v>
          </cell>
          <cell r="K175" t="str">
            <v>6104.63.2006</v>
          </cell>
          <cell r="L175" t="str">
            <v>6104.63.00.00.00</v>
          </cell>
        </row>
        <row r="176">
          <cell r="B176" t="str">
            <v>W5912R</v>
          </cell>
          <cell r="C176" t="str">
            <v>Women's Other Bottoms</v>
          </cell>
          <cell r="D176" t="str">
            <v>Athletic Heather Grey</v>
          </cell>
          <cell r="E176" t="str">
            <v>63%POLYESTER 34%VISCOSE 3%ELASTANE</v>
          </cell>
          <cell r="F176" t="str">
            <v>CN</v>
          </cell>
          <cell r="H176">
            <v>12.79</v>
          </cell>
          <cell r="I176">
            <v>40</v>
          </cell>
          <cell r="J176">
            <v>511.6</v>
          </cell>
          <cell r="K176" t="str">
            <v>6104.63.2006</v>
          </cell>
          <cell r="L176" t="str">
            <v>6104.63.00.00.00</v>
          </cell>
        </row>
        <row r="177">
          <cell r="B177" t="str">
            <v>W5912R</v>
          </cell>
          <cell r="C177" t="str">
            <v>Women's Other Bottoms</v>
          </cell>
          <cell r="D177" t="str">
            <v>Oatmeal Heather</v>
          </cell>
          <cell r="E177" t="str">
            <v>63%POLYESTER 34%RAYON 3%ELASTANE</v>
          </cell>
          <cell r="F177" t="str">
            <v>VN</v>
          </cell>
          <cell r="H177">
            <v>13.07</v>
          </cell>
          <cell r="I177">
            <v>15</v>
          </cell>
          <cell r="J177">
            <v>196.05</v>
          </cell>
          <cell r="K177" t="str">
            <v>6104.63.2006</v>
          </cell>
          <cell r="L177" t="str">
            <v>6104.63.00.00.00</v>
          </cell>
        </row>
        <row r="178">
          <cell r="B178" t="str">
            <v>W5912R</v>
          </cell>
          <cell r="C178" t="str">
            <v>Women's Other Bottoms</v>
          </cell>
          <cell r="D178" t="str">
            <v>Toasted Almond</v>
          </cell>
          <cell r="E178" t="str">
            <v>63%POLYESTER 34%RAYON 3%ELASTANE</v>
          </cell>
          <cell r="F178" t="str">
            <v>VN</v>
          </cell>
          <cell r="H178">
            <v>12.8</v>
          </cell>
          <cell r="I178">
            <v>24</v>
          </cell>
          <cell r="J178">
            <v>307.2</v>
          </cell>
          <cell r="K178" t="str">
            <v>6104.63.2006</v>
          </cell>
          <cell r="L178" t="str">
            <v>6104.63.00.00.00</v>
          </cell>
        </row>
        <row r="179">
          <cell r="B179" t="str">
            <v>W51118R</v>
          </cell>
          <cell r="C179" t="str">
            <v>Women's Leggings</v>
          </cell>
          <cell r="D179" t="str">
            <v>Black</v>
          </cell>
          <cell r="E179" t="str">
            <v>87%NYLON 13%ELASTANE</v>
          </cell>
          <cell r="F179" t="str">
            <v>VN</v>
          </cell>
          <cell r="H179">
            <v>15.6</v>
          </cell>
          <cell r="I179">
            <v>79</v>
          </cell>
          <cell r="J179">
            <v>1232.4000000000001</v>
          </cell>
          <cell r="K179" t="str">
            <v>6104.63.2006</v>
          </cell>
          <cell r="L179" t="str">
            <v>6115.22.00.00.00</v>
          </cell>
        </row>
        <row r="180">
          <cell r="B180" t="str">
            <v>W51298R</v>
          </cell>
          <cell r="C180" t="str">
            <v>Women's Leggings</v>
          </cell>
          <cell r="D180" t="str">
            <v>White/Black</v>
          </cell>
          <cell r="E180" t="str">
            <v>81%NYLON 19%ELASTANE&gt;EXCLU...</v>
          </cell>
          <cell r="F180" t="str">
            <v>VN</v>
          </cell>
          <cell r="H180">
            <v>20.86</v>
          </cell>
          <cell r="I180">
            <v>30</v>
          </cell>
          <cell r="J180">
            <v>625.79999999999995</v>
          </cell>
          <cell r="K180" t="str">
            <v>6104.63.2006</v>
          </cell>
          <cell r="L180" t="str">
            <v>6115.22.00.00.00</v>
          </cell>
        </row>
        <row r="181">
          <cell r="B181" t="str">
            <v>W51415R</v>
          </cell>
          <cell r="C181" t="str">
            <v>Women's Other Bottoms</v>
          </cell>
          <cell r="D181" t="str">
            <v>CelBl/Dark Celestial Blue</v>
          </cell>
          <cell r="E181" t="str">
            <v>62%POLYESTER 38%RAYON&gt;EXCL...</v>
          </cell>
          <cell r="F181" t="str">
            <v>CN</v>
          </cell>
          <cell r="H181">
            <v>26.69</v>
          </cell>
          <cell r="I181">
            <v>11</v>
          </cell>
          <cell r="J181">
            <v>293.58999999999997</v>
          </cell>
          <cell r="K181" t="str">
            <v>6104.63.2011</v>
          </cell>
          <cell r="L181" t="str">
            <v>6104.63.00.00.00</v>
          </cell>
        </row>
        <row r="182">
          <cell r="B182" t="str">
            <v>W51369R</v>
          </cell>
          <cell r="C182" t="str">
            <v>Women's Other Bottoms</v>
          </cell>
          <cell r="D182" t="str">
            <v>Black</v>
          </cell>
          <cell r="E182" t="str">
            <v>49%VISCOSE 29%POLYESTER 18%...</v>
          </cell>
          <cell r="F182" t="str">
            <v>CN</v>
          </cell>
          <cell r="H182">
            <v>19.86</v>
          </cell>
          <cell r="I182">
            <v>29</v>
          </cell>
          <cell r="J182">
            <v>575.94000000000005</v>
          </cell>
          <cell r="K182" t="str">
            <v>6104.63.2011</v>
          </cell>
          <cell r="L182" t="str">
            <v>6104.63.00.00.00</v>
          </cell>
        </row>
        <row r="183">
          <cell r="B183" t="str">
            <v>W51369R</v>
          </cell>
          <cell r="C183" t="str">
            <v>Women's Other Bottoms</v>
          </cell>
          <cell r="D183" t="str">
            <v>Ivory</v>
          </cell>
          <cell r="E183" t="str">
            <v>49%VISCOSE 29%POLYESTER 18%...</v>
          </cell>
          <cell r="F183" t="str">
            <v>CN</v>
          </cell>
          <cell r="H183">
            <v>19.86</v>
          </cell>
          <cell r="I183">
            <v>29</v>
          </cell>
          <cell r="J183">
            <v>575.94000000000005</v>
          </cell>
          <cell r="K183" t="str">
            <v>6104.63.2011</v>
          </cell>
          <cell r="L183" t="str">
            <v>6104.63.00.00.00</v>
          </cell>
        </row>
        <row r="184">
          <cell r="B184" t="str">
            <v>W51415R</v>
          </cell>
          <cell r="C184" t="str">
            <v>Women's Other Bottoms</v>
          </cell>
          <cell r="D184" t="str">
            <v>Steel Grey/Anthracite</v>
          </cell>
          <cell r="E184" t="str">
            <v>62%RAYON 38%POLYESTER&gt;EXCL...</v>
          </cell>
          <cell r="F184" t="str">
            <v>CN</v>
          </cell>
          <cell r="H184">
            <v>26.69</v>
          </cell>
          <cell r="I184">
            <v>8</v>
          </cell>
          <cell r="J184">
            <v>213.52</v>
          </cell>
          <cell r="K184" t="str">
            <v>6104.63.2011</v>
          </cell>
          <cell r="L184" t="str">
            <v>6104.63.00.00.00</v>
          </cell>
        </row>
        <row r="185">
          <cell r="B185" t="str">
            <v>W51431R</v>
          </cell>
          <cell r="C185" t="str">
            <v>Women's Other Bottoms</v>
          </cell>
          <cell r="D185" t="str">
            <v>Black</v>
          </cell>
          <cell r="E185" t="str">
            <v>BODY: 100%NYLON&gt;CONTRAST: 9...</v>
          </cell>
          <cell r="F185" t="str">
            <v>CN</v>
          </cell>
          <cell r="H185">
            <v>30.92</v>
          </cell>
          <cell r="I185">
            <v>12</v>
          </cell>
          <cell r="J185">
            <v>371.04</v>
          </cell>
          <cell r="K185" t="str">
            <v>6104.63.2011</v>
          </cell>
          <cell r="L185" t="str">
            <v>6104.63.00.00.00</v>
          </cell>
        </row>
        <row r="186">
          <cell r="B186" t="str">
            <v>W51431R</v>
          </cell>
          <cell r="C186" t="str">
            <v>Women's Other Bottoms</v>
          </cell>
          <cell r="D186" t="str">
            <v>Ivory</v>
          </cell>
          <cell r="E186" t="str">
            <v>BODY: 100%NYLON&gt;CONTRAST: 9...</v>
          </cell>
          <cell r="F186" t="str">
            <v>CN</v>
          </cell>
          <cell r="H186">
            <v>30.92</v>
          </cell>
          <cell r="I186">
            <v>12</v>
          </cell>
          <cell r="J186">
            <v>371.04</v>
          </cell>
          <cell r="K186" t="str">
            <v>6104.63.2011</v>
          </cell>
          <cell r="L186" t="str">
            <v>6104.63.00.00.00</v>
          </cell>
        </row>
        <row r="187">
          <cell r="B187" t="str">
            <v>W51431R</v>
          </cell>
          <cell r="C187" t="str">
            <v>Women's Other Bottoms</v>
          </cell>
          <cell r="D187" t="str">
            <v>Toasted Almond</v>
          </cell>
          <cell r="E187" t="str">
            <v>BODY: 100%NYLON&gt;CONTRAST: 9...</v>
          </cell>
          <cell r="F187" t="str">
            <v>CN</v>
          </cell>
          <cell r="H187">
            <v>30.92</v>
          </cell>
          <cell r="I187">
            <v>8</v>
          </cell>
          <cell r="J187">
            <v>247.36</v>
          </cell>
          <cell r="K187" t="str">
            <v>6104.63.2011</v>
          </cell>
          <cell r="L187" t="str">
            <v>6104.63.00.00.00</v>
          </cell>
        </row>
        <row r="188">
          <cell r="B188" t="str">
            <v>W54137R</v>
          </cell>
          <cell r="C188" t="str">
            <v>Women's Other Bottoms</v>
          </cell>
          <cell r="D188" t="str">
            <v>Black</v>
          </cell>
          <cell r="E188" t="str">
            <v>100%POLYESTER&gt;EXCLUSIVE OF TRIMMING</v>
          </cell>
          <cell r="F188" t="str">
            <v>CN</v>
          </cell>
          <cell r="H188">
            <v>13.8</v>
          </cell>
          <cell r="I188">
            <v>15</v>
          </cell>
          <cell r="J188">
            <v>207</v>
          </cell>
          <cell r="K188" t="str">
            <v>6104.63.2011</v>
          </cell>
          <cell r="L188" t="str">
            <v>6104.63.00.00.00</v>
          </cell>
        </row>
        <row r="189">
          <cell r="B189" t="str">
            <v>W54137R</v>
          </cell>
          <cell r="C189" t="str">
            <v>Women's Other Bottoms</v>
          </cell>
          <cell r="D189" t="str">
            <v>Eclipse Blue</v>
          </cell>
          <cell r="E189" t="str">
            <v>100%POLYESTER&gt;EXCLUSIVE OF TRIMMING</v>
          </cell>
          <cell r="F189" t="str">
            <v>KH</v>
          </cell>
          <cell r="H189">
            <v>12.69</v>
          </cell>
          <cell r="I189">
            <v>12</v>
          </cell>
          <cell r="J189">
            <v>152.28</v>
          </cell>
          <cell r="K189" t="str">
            <v>6104.63.2011</v>
          </cell>
          <cell r="L189" t="str">
            <v>6104.63.00.00.00</v>
          </cell>
        </row>
        <row r="190">
          <cell r="B190" t="str">
            <v>W6136R</v>
          </cell>
          <cell r="C190" t="str">
            <v>Women's Shorts</v>
          </cell>
          <cell r="D190" t="str">
            <v>Black</v>
          </cell>
          <cell r="E190" t="str">
            <v>77%POLYESTER 23%ELASTANE</v>
          </cell>
          <cell r="F190" t="str">
            <v>KH</v>
          </cell>
          <cell r="H190">
            <v>6.39</v>
          </cell>
          <cell r="I190">
            <v>20</v>
          </cell>
          <cell r="J190">
            <v>127.8</v>
          </cell>
          <cell r="K190" t="str">
            <v>6104.63.2030</v>
          </cell>
          <cell r="L190" t="str">
            <v>6104.63.00.00.00</v>
          </cell>
        </row>
        <row r="191">
          <cell r="B191" t="str">
            <v>W6145R</v>
          </cell>
          <cell r="C191" t="str">
            <v>Women's Shorts</v>
          </cell>
          <cell r="D191" t="str">
            <v>White</v>
          </cell>
          <cell r="E191" t="str">
            <v>81%NYLON 19%ELASTANE</v>
          </cell>
          <cell r="F191" t="str">
            <v>KH</v>
          </cell>
          <cell r="H191">
            <v>8.01</v>
          </cell>
          <cell r="I191">
            <v>14</v>
          </cell>
          <cell r="J191">
            <v>112.14</v>
          </cell>
          <cell r="K191" t="str">
            <v>6104.63.2030</v>
          </cell>
          <cell r="L191" t="str">
            <v>6104.63.00.00.00</v>
          </cell>
        </row>
        <row r="192">
          <cell r="B192" t="str">
            <v>W6145R</v>
          </cell>
          <cell r="C192" t="str">
            <v>Women's Shorts</v>
          </cell>
          <cell r="D192" t="str">
            <v>Black</v>
          </cell>
          <cell r="E192" t="str">
            <v>87%NYLON 13%ELASTANE</v>
          </cell>
          <cell r="F192" t="str">
            <v>KH</v>
          </cell>
          <cell r="H192">
            <v>8.01</v>
          </cell>
          <cell r="I192">
            <v>21</v>
          </cell>
          <cell r="J192">
            <v>168.21</v>
          </cell>
          <cell r="K192" t="str">
            <v>6104.63.2030</v>
          </cell>
          <cell r="L192" t="str">
            <v>6104.63.00.00.00</v>
          </cell>
        </row>
        <row r="193">
          <cell r="B193" t="str">
            <v>W6290R</v>
          </cell>
          <cell r="C193" t="str">
            <v>Women's Shorts</v>
          </cell>
          <cell r="D193" t="str">
            <v>Black</v>
          </cell>
          <cell r="E193" t="str">
            <v>89%NYLON 11%ELASTANE</v>
          </cell>
          <cell r="F193" t="str">
            <v>KH</v>
          </cell>
          <cell r="H193">
            <v>9.51</v>
          </cell>
          <cell r="I193">
            <v>19</v>
          </cell>
          <cell r="J193">
            <v>180.69</v>
          </cell>
          <cell r="K193" t="str">
            <v>6104.63.2030</v>
          </cell>
          <cell r="L193" t="str">
            <v>6104.63.00.00.00</v>
          </cell>
        </row>
        <row r="194">
          <cell r="B194" t="str">
            <v>W6290R</v>
          </cell>
          <cell r="C194" t="str">
            <v>Women's Shorts</v>
          </cell>
          <cell r="D194" t="str">
            <v>Eclipse Blue</v>
          </cell>
          <cell r="E194" t="str">
            <v>93%NYLON 7%ELASTANE</v>
          </cell>
          <cell r="F194" t="str">
            <v>LK</v>
          </cell>
          <cell r="H194">
            <v>7.75</v>
          </cell>
          <cell r="I194">
            <v>16</v>
          </cell>
          <cell r="J194">
            <v>124</v>
          </cell>
          <cell r="K194" t="str">
            <v>6104.63.2030</v>
          </cell>
          <cell r="L194" t="str">
            <v>6104.63.00.00.00</v>
          </cell>
        </row>
        <row r="195">
          <cell r="B195" t="str">
            <v>W6311R</v>
          </cell>
          <cell r="C195" t="str">
            <v>Women's Shorts</v>
          </cell>
          <cell r="D195" t="str">
            <v>White</v>
          </cell>
          <cell r="E195" t="str">
            <v>81%NYLON 19%ELASTANE</v>
          </cell>
          <cell r="F195" t="str">
            <v>LK</v>
          </cell>
          <cell r="H195">
            <v>8.1199999999999992</v>
          </cell>
          <cell r="I195">
            <v>18</v>
          </cell>
          <cell r="J195">
            <v>146.16</v>
          </cell>
          <cell r="K195" t="str">
            <v>6104.63.2030</v>
          </cell>
          <cell r="L195" t="str">
            <v>6104.63.00.00.00</v>
          </cell>
        </row>
        <row r="196">
          <cell r="B196" t="str">
            <v>W6311R</v>
          </cell>
          <cell r="C196" t="str">
            <v>Women's Shorts</v>
          </cell>
          <cell r="D196" t="str">
            <v>Black</v>
          </cell>
          <cell r="E196" t="str">
            <v>87%NYLON 13%ELASTANE</v>
          </cell>
          <cell r="F196" t="str">
            <v>VN</v>
          </cell>
          <cell r="H196">
            <v>8.1199999999999992</v>
          </cell>
          <cell r="I196">
            <v>21</v>
          </cell>
          <cell r="J196">
            <v>170.52</v>
          </cell>
          <cell r="K196" t="str">
            <v>6104.63.2030</v>
          </cell>
          <cell r="L196" t="str">
            <v>6104.63.00.00.00</v>
          </cell>
        </row>
        <row r="197">
          <cell r="B197" t="str">
            <v>W6368R</v>
          </cell>
          <cell r="C197" t="str">
            <v>Women's Shorts</v>
          </cell>
          <cell r="D197" t="str">
            <v>Black</v>
          </cell>
          <cell r="E197" t="str">
            <v>63%POLYESTER 34%VISCOSE 3%ELASTANE</v>
          </cell>
          <cell r="F197" t="str">
            <v>VN</v>
          </cell>
          <cell r="H197">
            <v>8.09</v>
          </cell>
          <cell r="I197">
            <v>10</v>
          </cell>
          <cell r="J197">
            <v>80.900000000000006</v>
          </cell>
          <cell r="K197" t="str">
            <v>6104.63.2030</v>
          </cell>
          <cell r="L197" t="str">
            <v>6104.63.00.00.00</v>
          </cell>
        </row>
        <row r="198">
          <cell r="B198" t="str">
            <v>W6368R</v>
          </cell>
          <cell r="C198" t="str">
            <v>Women's Shorts</v>
          </cell>
          <cell r="D198" t="str">
            <v>Athletic Heather Grey</v>
          </cell>
          <cell r="E198" t="str">
            <v>63%POLYESTER 34%VISCOSE 3%ELASTANE</v>
          </cell>
          <cell r="F198" t="str">
            <v>VN</v>
          </cell>
          <cell r="H198">
            <v>8.09</v>
          </cell>
          <cell r="I198">
            <v>10</v>
          </cell>
          <cell r="J198">
            <v>80.900000000000006</v>
          </cell>
          <cell r="K198" t="str">
            <v>6104.63.2030</v>
          </cell>
          <cell r="L198" t="str">
            <v>6104.63.00.00.00</v>
          </cell>
        </row>
        <row r="199">
          <cell r="B199" t="str">
            <v>W6399R</v>
          </cell>
          <cell r="C199" t="str">
            <v>Women's Shorts</v>
          </cell>
          <cell r="D199" t="str">
            <v>Black</v>
          </cell>
          <cell r="E199" t="str">
            <v>87%POLYESTER 13%ELASTANE</v>
          </cell>
          <cell r="F199" t="str">
            <v>VN</v>
          </cell>
          <cell r="H199">
            <v>6.61</v>
          </cell>
          <cell r="I199">
            <v>15</v>
          </cell>
          <cell r="J199">
            <v>99.15</v>
          </cell>
          <cell r="K199" t="str">
            <v>6104.63.2030</v>
          </cell>
          <cell r="L199" t="str">
            <v>6104.63.00.00.00</v>
          </cell>
        </row>
        <row r="200">
          <cell r="B200" t="str">
            <v>W6442R</v>
          </cell>
          <cell r="C200" t="str">
            <v>Women's Shorts</v>
          </cell>
          <cell r="D200" t="str">
            <v>Black</v>
          </cell>
          <cell r="E200" t="str">
            <v>77%POLYESTER 23%ELASTANE&gt;E...</v>
          </cell>
          <cell r="F200" t="str">
            <v>CN</v>
          </cell>
          <cell r="H200">
            <v>13.73</v>
          </cell>
          <cell r="I200">
            <v>24</v>
          </cell>
          <cell r="J200">
            <v>329.52</v>
          </cell>
          <cell r="K200" t="str">
            <v>6104.63.2030</v>
          </cell>
          <cell r="L200" t="str">
            <v>6104.63.00.00.00</v>
          </cell>
        </row>
        <row r="201">
          <cell r="B201" t="str">
            <v>W6442R</v>
          </cell>
          <cell r="C201" t="str">
            <v>Women's Shorts</v>
          </cell>
          <cell r="D201" t="str">
            <v>Eclipse Blue</v>
          </cell>
          <cell r="E201" t="str">
            <v>77%POLYESTER 23%ELASTANE&gt;E...</v>
          </cell>
          <cell r="F201" t="str">
            <v>CN</v>
          </cell>
          <cell r="H201">
            <v>13.5</v>
          </cell>
          <cell r="I201">
            <v>14</v>
          </cell>
          <cell r="J201">
            <v>189</v>
          </cell>
          <cell r="K201" t="str">
            <v>6104.63.2030</v>
          </cell>
          <cell r="L201" t="str">
            <v>6104.63.00.00.00</v>
          </cell>
        </row>
        <row r="202">
          <cell r="B202" t="str">
            <v>W6311R</v>
          </cell>
          <cell r="C202" t="str">
            <v>Women's Shorts</v>
          </cell>
          <cell r="D202" t="str">
            <v>Black</v>
          </cell>
          <cell r="E202" t="str">
            <v>87%NYLON 13%ELASTANE</v>
          </cell>
          <cell r="F202" t="str">
            <v>VN</v>
          </cell>
          <cell r="H202">
            <v>8.1199999999999992</v>
          </cell>
          <cell r="I202">
            <v>51</v>
          </cell>
          <cell r="J202">
            <v>414.12</v>
          </cell>
          <cell r="K202" t="str">
            <v>6104.63.2030</v>
          </cell>
          <cell r="L202" t="str">
            <v>6104.63.00.00.00</v>
          </cell>
        </row>
        <row r="203">
          <cell r="B203" t="str">
            <v>AWPACA1014</v>
          </cell>
          <cell r="C203" t="str">
            <v>MA QUAD PJ PANT</v>
          </cell>
          <cell r="E203" t="str">
            <v>100% SILK</v>
          </cell>
          <cell r="F203" t="str">
            <v>IT</v>
          </cell>
          <cell r="H203">
            <v>288.39999999999998</v>
          </cell>
          <cell r="I203">
            <v>4</v>
          </cell>
          <cell r="J203">
            <v>1153.5999999999999</v>
          </cell>
          <cell r="K203" t="str">
            <v>61046900</v>
          </cell>
          <cell r="L203" t="str">
            <v>6104.69.00.00.11</v>
          </cell>
        </row>
        <row r="204">
          <cell r="B204" t="str">
            <v>M1243R</v>
          </cell>
          <cell r="C204" t="str">
            <v>Men's Short Sleeve Tops</v>
          </cell>
          <cell r="D204" t="str">
            <v>Black</v>
          </cell>
          <cell r="E204" t="str">
            <v>100%COTTON&gt;EXCLUSIVE OF TRIMMING</v>
          </cell>
          <cell r="F204" t="str">
            <v>CN</v>
          </cell>
          <cell r="H204">
            <v>27.95</v>
          </cell>
          <cell r="I204">
            <v>11</v>
          </cell>
          <cell r="J204">
            <v>307.45</v>
          </cell>
          <cell r="K204" t="str">
            <v>6105.10.0010</v>
          </cell>
          <cell r="L204" t="str">
            <v>6105.10.00.00.00</v>
          </cell>
        </row>
        <row r="205">
          <cell r="B205" t="str">
            <v>AMKNPO1029</v>
          </cell>
          <cell r="C205" t="str">
            <v>BANDANA POLO</v>
          </cell>
          <cell r="E205" t="str">
            <v>100% EGYPTIAN SUPERSOFT COTTON</v>
          </cell>
          <cell r="F205" t="str">
            <v>IT</v>
          </cell>
          <cell r="H205">
            <v>259</v>
          </cell>
          <cell r="I205">
            <v>14</v>
          </cell>
          <cell r="J205">
            <v>3626</v>
          </cell>
          <cell r="K205" t="str">
            <v>61051000</v>
          </cell>
          <cell r="L205" t="str">
            <v>6105.10.00.00.00</v>
          </cell>
        </row>
        <row r="206">
          <cell r="B206" t="str">
            <v>AMSTBW1018</v>
          </cell>
          <cell r="C206" t="str">
            <v>ARTS DISTRICT BOWLING SHIRT</v>
          </cell>
          <cell r="E206" t="str">
            <v>100% SILK</v>
          </cell>
          <cell r="F206" t="str">
            <v>IT</v>
          </cell>
          <cell r="H206">
            <v>276.5</v>
          </cell>
          <cell r="I206">
            <v>17</v>
          </cell>
          <cell r="J206">
            <v>4700.5</v>
          </cell>
          <cell r="K206" t="str">
            <v>61059090</v>
          </cell>
          <cell r="L206" t="str">
            <v>6105.90.90.00.00</v>
          </cell>
        </row>
        <row r="207">
          <cell r="B207" t="str">
            <v>AMSTBW1020</v>
          </cell>
          <cell r="C207" t="str">
            <v>MIX AND MATCH MA SHIRT</v>
          </cell>
          <cell r="E207" t="str">
            <v>100% SILK</v>
          </cell>
          <cell r="F207" t="str">
            <v>IT</v>
          </cell>
          <cell r="H207">
            <v>288.39999999999998</v>
          </cell>
          <cell r="I207">
            <v>16</v>
          </cell>
          <cell r="J207">
            <v>4614.3999999999996</v>
          </cell>
          <cell r="K207" t="str">
            <v>61059090</v>
          </cell>
          <cell r="L207" t="str">
            <v>6105.90.90.00.00</v>
          </cell>
        </row>
        <row r="208">
          <cell r="B208" t="str">
            <v>A0191M</v>
          </cell>
          <cell r="C208" t="str">
            <v>Men's Undergarments</v>
          </cell>
          <cell r="D208" t="str">
            <v>White</v>
          </cell>
          <cell r="E208" t="str">
            <v>93%MODAL 7%ELASTANE&gt;EXCLUS...</v>
          </cell>
          <cell r="F208" t="str">
            <v>LK</v>
          </cell>
          <cell r="H208">
            <v>4.7</v>
          </cell>
          <cell r="I208">
            <v>12</v>
          </cell>
          <cell r="J208">
            <v>56.4</v>
          </cell>
          <cell r="K208" t="str">
            <v>6107.12.0010</v>
          </cell>
          <cell r="L208" t="str">
            <v>6107.12.00.00.00</v>
          </cell>
        </row>
        <row r="209">
          <cell r="B209" t="str">
            <v>A0191M</v>
          </cell>
          <cell r="C209" t="str">
            <v>Men's Undergarments</v>
          </cell>
          <cell r="D209" t="str">
            <v>Grey</v>
          </cell>
          <cell r="E209" t="str">
            <v>93%MODAL 7%ELASTANE&gt;EXCLUS...</v>
          </cell>
          <cell r="F209" t="str">
            <v>LK</v>
          </cell>
          <cell r="H209">
            <v>4.7</v>
          </cell>
          <cell r="I209">
            <v>9</v>
          </cell>
          <cell r="J209">
            <v>42.3</v>
          </cell>
          <cell r="K209" t="str">
            <v>6107.12.0010</v>
          </cell>
          <cell r="L209" t="str">
            <v>6107.12.00.00.00</v>
          </cell>
        </row>
        <row r="210">
          <cell r="B210" t="str">
            <v>A0191M</v>
          </cell>
          <cell r="C210" t="str">
            <v>Men's Undergarments</v>
          </cell>
          <cell r="D210" t="str">
            <v>Black</v>
          </cell>
          <cell r="E210" t="str">
            <v>93%MODAL 7%ELASTANE&gt;EXCLUS...</v>
          </cell>
          <cell r="F210" t="str">
            <v>LK</v>
          </cell>
          <cell r="H210">
            <v>4.7</v>
          </cell>
          <cell r="I210">
            <v>12</v>
          </cell>
          <cell r="J210">
            <v>56.4</v>
          </cell>
          <cell r="K210" t="str">
            <v>6107.12.0010</v>
          </cell>
          <cell r="L210" t="str">
            <v>6107.12.00.00.00</v>
          </cell>
        </row>
        <row r="211">
          <cell r="B211" t="str">
            <v>A0477M</v>
          </cell>
          <cell r="C211" t="str">
            <v>Men's Undergarments</v>
          </cell>
          <cell r="D211" t="str">
            <v>White</v>
          </cell>
          <cell r="E211" t="str">
            <v>83%RECYCLED POLYESTER 17%LY...</v>
          </cell>
          <cell r="F211" t="str">
            <v>CN</v>
          </cell>
          <cell r="H211">
            <v>5</v>
          </cell>
          <cell r="I211">
            <v>9</v>
          </cell>
          <cell r="J211">
            <v>45</v>
          </cell>
          <cell r="K211" t="str">
            <v>6107.12.0010</v>
          </cell>
          <cell r="L211" t="str">
            <v>6107.12.00.00.00</v>
          </cell>
        </row>
        <row r="212">
          <cell r="B212" t="str">
            <v>A0082W</v>
          </cell>
          <cell r="C212" t="str">
            <v>Women's Undergarments</v>
          </cell>
          <cell r="D212" t="str">
            <v>Black</v>
          </cell>
          <cell r="E212" t="str">
            <v>76%NYLON 24%ELASTANE</v>
          </cell>
          <cell r="F212" t="str">
            <v>CN</v>
          </cell>
          <cell r="H212">
            <v>2.19</v>
          </cell>
          <cell r="I212">
            <v>60</v>
          </cell>
          <cell r="J212">
            <v>131.4</v>
          </cell>
          <cell r="K212" t="str">
            <v>6108.22.9020</v>
          </cell>
          <cell r="L212" t="str">
            <v>6108.22.00.00.00</v>
          </cell>
        </row>
        <row r="213">
          <cell r="B213" t="str">
            <v>A0082W</v>
          </cell>
          <cell r="C213" t="str">
            <v>Women's Undergarments</v>
          </cell>
          <cell r="D213" t="str">
            <v>Champagne</v>
          </cell>
          <cell r="E213" t="str">
            <v>76%NYLON 24%ELASTANE</v>
          </cell>
          <cell r="F213" t="str">
            <v>CN</v>
          </cell>
          <cell r="H213">
            <v>2.19</v>
          </cell>
          <cell r="I213">
            <v>40</v>
          </cell>
          <cell r="J213">
            <v>87.6</v>
          </cell>
          <cell r="K213" t="str">
            <v>6108.22.9020</v>
          </cell>
          <cell r="L213" t="str">
            <v>6108.22.00.00.00</v>
          </cell>
        </row>
        <row r="214">
          <cell r="B214" t="str">
            <v>A0082W</v>
          </cell>
          <cell r="C214" t="str">
            <v>Women's Undergarments</v>
          </cell>
          <cell r="D214" t="str">
            <v>Sand</v>
          </cell>
          <cell r="E214" t="str">
            <v>76%NYLON 24%ELASTANE</v>
          </cell>
          <cell r="F214" t="str">
            <v>CN</v>
          </cell>
          <cell r="H214">
            <v>2.19</v>
          </cell>
          <cell r="I214">
            <v>40</v>
          </cell>
          <cell r="J214">
            <v>87.6</v>
          </cell>
          <cell r="K214" t="str">
            <v>6108.22.9020</v>
          </cell>
          <cell r="L214" t="str">
            <v>6108.22.00.00.00</v>
          </cell>
        </row>
        <row r="215">
          <cell r="B215" t="str">
            <v>A0096W</v>
          </cell>
          <cell r="C215" t="str">
            <v>Women's Undergarments</v>
          </cell>
          <cell r="D215" t="str">
            <v>Black</v>
          </cell>
          <cell r="E215" t="str">
            <v>76%NYLON 24%ELASTANE&gt;EXCLU...</v>
          </cell>
          <cell r="F215" t="str">
            <v>CN</v>
          </cell>
          <cell r="H215">
            <v>2.21</v>
          </cell>
          <cell r="I215">
            <v>60</v>
          </cell>
          <cell r="J215">
            <v>132.6</v>
          </cell>
          <cell r="K215" t="str">
            <v>6108.22.9020</v>
          </cell>
          <cell r="L215" t="str">
            <v>6108.22.00.00.00</v>
          </cell>
        </row>
        <row r="216">
          <cell r="B216" t="str">
            <v>A0096W</v>
          </cell>
          <cell r="C216" t="str">
            <v>Women's Undergarments</v>
          </cell>
          <cell r="D216" t="str">
            <v>Champagne</v>
          </cell>
          <cell r="E216" t="str">
            <v>76%NYLON 24%ELASTANE&gt;EXCLU...</v>
          </cell>
          <cell r="F216" t="str">
            <v>CN</v>
          </cell>
          <cell r="H216">
            <v>2.21</v>
          </cell>
          <cell r="I216">
            <v>40</v>
          </cell>
          <cell r="J216">
            <v>88.4</v>
          </cell>
          <cell r="K216" t="str">
            <v>6108.22.9020</v>
          </cell>
          <cell r="L216" t="str">
            <v>6108.22.00.00.00</v>
          </cell>
        </row>
        <row r="217">
          <cell r="B217" t="str">
            <v>A0096W</v>
          </cell>
          <cell r="C217" t="str">
            <v>Women's Undergarments</v>
          </cell>
          <cell r="D217" t="str">
            <v>Sand</v>
          </cell>
          <cell r="E217" t="str">
            <v>76%NYLON 24%ELASTANE&gt;EXCLU...</v>
          </cell>
          <cell r="F217" t="str">
            <v>CN</v>
          </cell>
          <cell r="H217">
            <v>2.21</v>
          </cell>
          <cell r="I217">
            <v>40</v>
          </cell>
          <cell r="J217">
            <v>88.4</v>
          </cell>
          <cell r="K217" t="str">
            <v>6108.22.9020</v>
          </cell>
          <cell r="L217" t="str">
            <v>6108.22.00.00.00</v>
          </cell>
        </row>
        <row r="218">
          <cell r="B218" t="str">
            <v>A0285W</v>
          </cell>
          <cell r="C218" t="str">
            <v>Women's Undergarments</v>
          </cell>
          <cell r="D218" t="str">
            <v>White</v>
          </cell>
          <cell r="E218" t="str">
            <v>SHELL &amp; LINING: 82%NYLON 18%E...</v>
          </cell>
          <cell r="F218" t="str">
            <v>CN</v>
          </cell>
          <cell r="H218">
            <v>4.9800000000000004</v>
          </cell>
          <cell r="I218">
            <v>19</v>
          </cell>
          <cell r="J218">
            <v>94.62</v>
          </cell>
          <cell r="K218" t="str">
            <v>6108.22.9020</v>
          </cell>
          <cell r="L218" t="str">
            <v>6108.22.00.00.00</v>
          </cell>
        </row>
        <row r="219">
          <cell r="B219" t="str">
            <v>A0285W</v>
          </cell>
          <cell r="C219" t="str">
            <v>Women's Undergarments</v>
          </cell>
          <cell r="D219" t="str">
            <v>Champagne</v>
          </cell>
          <cell r="E219" t="str">
            <v>SHELL &amp; LINING: 82%NYLON 18%E...</v>
          </cell>
          <cell r="F219" t="str">
            <v>CN</v>
          </cell>
          <cell r="H219">
            <v>4.9800000000000004</v>
          </cell>
          <cell r="I219">
            <v>19</v>
          </cell>
          <cell r="J219">
            <v>94.62</v>
          </cell>
          <cell r="K219" t="str">
            <v>6108.22.9020</v>
          </cell>
          <cell r="L219" t="str">
            <v>6108.22.00.00.00</v>
          </cell>
        </row>
        <row r="220">
          <cell r="B220" t="str">
            <v>M1224R</v>
          </cell>
          <cell r="C220" t="str">
            <v>Men's Short Sleeve Tops</v>
          </cell>
          <cell r="D220" t="str">
            <v>Black</v>
          </cell>
          <cell r="E220" t="str">
            <v>47%MODAL 47%COTTON 6%ELAST...</v>
          </cell>
          <cell r="F220" t="str">
            <v>CN</v>
          </cell>
          <cell r="H220">
            <v>10.64</v>
          </cell>
          <cell r="I220">
            <v>26</v>
          </cell>
          <cell r="J220">
            <v>276.64</v>
          </cell>
          <cell r="K220" t="str">
            <v>6109.90.1007</v>
          </cell>
          <cell r="L220" t="str">
            <v>6109.90.90.00.00</v>
          </cell>
        </row>
        <row r="221">
          <cell r="B221" t="str">
            <v>M1224R</v>
          </cell>
          <cell r="C221" t="str">
            <v>Men's Short Sleeve Tops</v>
          </cell>
          <cell r="D221" t="str">
            <v>Bone</v>
          </cell>
          <cell r="E221" t="str">
            <v>47%MODAL 47%COTTON 6%ELAST...</v>
          </cell>
          <cell r="F221" t="str">
            <v>CN</v>
          </cell>
          <cell r="H221">
            <v>10.64</v>
          </cell>
          <cell r="I221">
            <v>26</v>
          </cell>
          <cell r="J221">
            <v>276.64</v>
          </cell>
          <cell r="K221" t="str">
            <v>6109.90.1007</v>
          </cell>
          <cell r="L221" t="str">
            <v>6109.90.90.00.00</v>
          </cell>
        </row>
        <row r="222">
          <cell r="B222" t="str">
            <v>M1224R</v>
          </cell>
          <cell r="C222" t="str">
            <v>Men's Short Sleeve Tops</v>
          </cell>
          <cell r="D222" t="str">
            <v>Espresso</v>
          </cell>
          <cell r="E222" t="str">
            <v>47%MODAL 47%COTTON 6%ELAST...</v>
          </cell>
          <cell r="F222" t="str">
            <v>CN</v>
          </cell>
          <cell r="H222">
            <v>10.64</v>
          </cell>
          <cell r="I222">
            <v>20</v>
          </cell>
          <cell r="J222">
            <v>212.8</v>
          </cell>
          <cell r="K222" t="str">
            <v>6109.90.1007</v>
          </cell>
          <cell r="L222" t="str">
            <v>6109.90.90.00.00</v>
          </cell>
        </row>
        <row r="223">
          <cell r="B223" t="str">
            <v>M1205R</v>
          </cell>
          <cell r="C223" t="str">
            <v>Men's Short Sleeve Tops</v>
          </cell>
          <cell r="D223" t="str">
            <v>Athletic Heather Grey</v>
          </cell>
          <cell r="E223" t="str">
            <v>94%POLYESTER 6%ELASTANE</v>
          </cell>
          <cell r="F223" t="str">
            <v>CN</v>
          </cell>
          <cell r="H223">
            <v>8.2200000000000006</v>
          </cell>
          <cell r="I223">
            <v>26</v>
          </cell>
          <cell r="J223">
            <v>213.72</v>
          </cell>
          <cell r="K223" t="str">
            <v>6109.90.1007</v>
          </cell>
          <cell r="L223" t="str">
            <v>6109.90.20.00.12</v>
          </cell>
        </row>
        <row r="224">
          <cell r="B224" t="str">
            <v>M1205R</v>
          </cell>
          <cell r="C224" t="str">
            <v>Men's Short Sleeve Tops</v>
          </cell>
          <cell r="D224" t="str">
            <v>Navy</v>
          </cell>
          <cell r="E224" t="str">
            <v>94%POLYESTER 6%ELASTANE</v>
          </cell>
          <cell r="F224" t="str">
            <v>CN</v>
          </cell>
          <cell r="H224">
            <v>8.2200000000000006</v>
          </cell>
          <cell r="I224">
            <v>26</v>
          </cell>
          <cell r="J224">
            <v>213.72</v>
          </cell>
          <cell r="K224" t="str">
            <v>6109.90.1007</v>
          </cell>
          <cell r="L224" t="str">
            <v>6109.90.20.00.12</v>
          </cell>
        </row>
        <row r="225">
          <cell r="B225" t="str">
            <v>M1205R</v>
          </cell>
          <cell r="C225" t="str">
            <v>Men's Short Sleeve Tops</v>
          </cell>
          <cell r="D225" t="str">
            <v>Espresso</v>
          </cell>
          <cell r="E225" t="str">
            <v>94%POLYESTER 6%ELASTANE</v>
          </cell>
          <cell r="F225" t="str">
            <v>CN</v>
          </cell>
          <cell r="H225">
            <v>8.2200000000000006</v>
          </cell>
          <cell r="I225">
            <v>20</v>
          </cell>
          <cell r="J225">
            <v>164.4</v>
          </cell>
          <cell r="K225" t="str">
            <v>6109.90.1007</v>
          </cell>
          <cell r="L225" t="str">
            <v>6109.90.20.00.12</v>
          </cell>
        </row>
        <row r="226">
          <cell r="B226" t="str">
            <v>M1205R</v>
          </cell>
          <cell r="C226" t="str">
            <v>Men's Short Sleeve Tops</v>
          </cell>
          <cell r="D226" t="str">
            <v>Eclipse Blue</v>
          </cell>
          <cell r="E226" t="str">
            <v>94%POLYESTER 6%ELASTANE</v>
          </cell>
          <cell r="F226" t="str">
            <v>CN</v>
          </cell>
          <cell r="H226">
            <v>9.89</v>
          </cell>
          <cell r="I226">
            <v>20</v>
          </cell>
          <cell r="J226">
            <v>197.8</v>
          </cell>
          <cell r="K226" t="str">
            <v>6109.90.1007</v>
          </cell>
          <cell r="L226" t="str">
            <v>6109.90.20.00.12</v>
          </cell>
        </row>
        <row r="227">
          <cell r="B227" t="str">
            <v>M1224R</v>
          </cell>
          <cell r="C227" t="str">
            <v>Men's Short Sleeve Tops</v>
          </cell>
          <cell r="D227" t="str">
            <v>Black</v>
          </cell>
          <cell r="E227" t="str">
            <v>47%MODAL 47%COTTON 6%ELAST...</v>
          </cell>
          <cell r="F227" t="str">
            <v>CN</v>
          </cell>
          <cell r="H227">
            <v>10.64</v>
          </cell>
          <cell r="I227">
            <v>35</v>
          </cell>
          <cell r="J227">
            <v>372.4</v>
          </cell>
          <cell r="K227" t="str">
            <v>6109.90.1007</v>
          </cell>
          <cell r="L227" t="str">
            <v>6109.90.20.00.12</v>
          </cell>
        </row>
        <row r="228">
          <cell r="B228" t="str">
            <v>M1224R</v>
          </cell>
          <cell r="C228" t="str">
            <v>Men's Short Sleeve Tops</v>
          </cell>
          <cell r="D228" t="str">
            <v>Athletic Heather Grey</v>
          </cell>
          <cell r="E228" t="str">
            <v>47%MODAL 47%COTTON 6%ELAST...</v>
          </cell>
          <cell r="F228" t="str">
            <v>CN</v>
          </cell>
          <cell r="H228">
            <v>10.64</v>
          </cell>
          <cell r="I228">
            <v>30</v>
          </cell>
          <cell r="J228">
            <v>319.2</v>
          </cell>
          <cell r="K228" t="str">
            <v>6109.90.1007</v>
          </cell>
          <cell r="L228" t="str">
            <v>6109.90.20.00.12</v>
          </cell>
        </row>
        <row r="229">
          <cell r="B229" t="str">
            <v>M1224R</v>
          </cell>
          <cell r="C229" t="str">
            <v>Men's Short Sleeve Tops</v>
          </cell>
          <cell r="D229" t="str">
            <v>Bone</v>
          </cell>
          <cell r="E229" t="str">
            <v>47%MODAL 47%COTTON 6%ELAST...</v>
          </cell>
          <cell r="F229" t="str">
            <v>CN</v>
          </cell>
          <cell r="H229">
            <v>10.64</v>
          </cell>
          <cell r="I229">
            <v>30</v>
          </cell>
          <cell r="J229">
            <v>319.2</v>
          </cell>
          <cell r="K229" t="str">
            <v>6109.90.1007</v>
          </cell>
          <cell r="L229" t="str">
            <v>6109.90.20.00.12</v>
          </cell>
        </row>
        <row r="230">
          <cell r="B230" t="str">
            <v>M1224R</v>
          </cell>
          <cell r="C230" t="str">
            <v>Men's Short Sleeve Tops</v>
          </cell>
          <cell r="D230" t="str">
            <v>Italian Plum</v>
          </cell>
          <cell r="E230" t="str">
            <v>47%MODAL 47%COTTON 6%ELAST...</v>
          </cell>
          <cell r="F230" t="str">
            <v>CN</v>
          </cell>
          <cell r="H230">
            <v>9.8000000000000007</v>
          </cell>
          <cell r="I230">
            <v>20</v>
          </cell>
          <cell r="J230">
            <v>196</v>
          </cell>
          <cell r="K230" t="str">
            <v>6109.90.1007</v>
          </cell>
          <cell r="L230" t="str">
            <v>6109.90.20.00.12</v>
          </cell>
        </row>
        <row r="231">
          <cell r="B231" t="str">
            <v>M1205R</v>
          </cell>
          <cell r="C231" t="str">
            <v>Men's Short Sleeve Tops</v>
          </cell>
          <cell r="D231" t="str">
            <v>Winter Ivy</v>
          </cell>
          <cell r="E231" t="str">
            <v>94%POLYESTER 6%ELASTANE</v>
          </cell>
          <cell r="F231" t="str">
            <v>NI</v>
          </cell>
          <cell r="H231">
            <v>8.93</v>
          </cell>
          <cell r="I231">
            <v>16</v>
          </cell>
          <cell r="J231">
            <v>142.88</v>
          </cell>
          <cell r="K231" t="str">
            <v>6109.90.1007</v>
          </cell>
          <cell r="L231" t="str">
            <v>6109.90.20.00.12</v>
          </cell>
        </row>
        <row r="232">
          <cell r="B232" t="str">
            <v>M1133R</v>
          </cell>
          <cell r="C232" t="str">
            <v>Men's Short Sleeve Tops</v>
          </cell>
          <cell r="D232" t="str">
            <v>White</v>
          </cell>
          <cell r="E232" t="str">
            <v>52%COTTON 48%POLYESTER</v>
          </cell>
          <cell r="F232" t="str">
            <v>NI</v>
          </cell>
          <cell r="H232">
            <v>8.19</v>
          </cell>
          <cell r="I232">
            <v>22</v>
          </cell>
          <cell r="J232">
            <v>180.18</v>
          </cell>
          <cell r="K232" t="str">
            <v>6109.90.1007</v>
          </cell>
          <cell r="L232" t="str">
            <v>6109.90.20.00.12</v>
          </cell>
        </row>
        <row r="233">
          <cell r="B233" t="str">
            <v>M1133R</v>
          </cell>
          <cell r="C233" t="str">
            <v>Men's Short Sleeve Tops</v>
          </cell>
          <cell r="D233" t="str">
            <v>Black</v>
          </cell>
          <cell r="E233" t="str">
            <v>50%POLYESTER 25%COTTON 25%VISCOSE</v>
          </cell>
          <cell r="F233" t="str">
            <v>NI</v>
          </cell>
          <cell r="H233">
            <v>8.19</v>
          </cell>
          <cell r="I233">
            <v>24</v>
          </cell>
          <cell r="J233">
            <v>196.56</v>
          </cell>
          <cell r="K233" t="str">
            <v>6109.90.1007</v>
          </cell>
          <cell r="L233" t="str">
            <v>6109.90.20.00.12</v>
          </cell>
        </row>
        <row r="234">
          <cell r="B234" t="str">
            <v>M1133R</v>
          </cell>
          <cell r="C234" t="str">
            <v>Men's Short Sleeve Tops</v>
          </cell>
          <cell r="D234" t="str">
            <v>Navy</v>
          </cell>
          <cell r="E234" t="str">
            <v>50%POLYESTER 25%COTTON 25%VISCOSE</v>
          </cell>
          <cell r="F234" t="str">
            <v>NI</v>
          </cell>
          <cell r="H234">
            <v>8.19</v>
          </cell>
          <cell r="I234">
            <v>19</v>
          </cell>
          <cell r="J234">
            <v>155.61000000000001</v>
          </cell>
          <cell r="K234" t="str">
            <v>6109.90.1007</v>
          </cell>
          <cell r="L234" t="str">
            <v>6109.90.20.00.12</v>
          </cell>
        </row>
        <row r="235">
          <cell r="B235" t="str">
            <v>M1133R</v>
          </cell>
          <cell r="C235" t="str">
            <v>Men's Short Sleeve Tops</v>
          </cell>
          <cell r="D235" t="str">
            <v>Steel Grey</v>
          </cell>
          <cell r="E235" t="str">
            <v>50%POLYESTER 25%COTTON 25%VISCOSE</v>
          </cell>
          <cell r="F235" t="str">
            <v>NI</v>
          </cell>
          <cell r="H235">
            <v>8.19</v>
          </cell>
          <cell r="I235">
            <v>16</v>
          </cell>
          <cell r="J235">
            <v>131.04</v>
          </cell>
          <cell r="K235" t="str">
            <v>6109.90.1007</v>
          </cell>
          <cell r="L235" t="str">
            <v>6109.90.20.00.12</v>
          </cell>
        </row>
        <row r="236">
          <cell r="B236" t="str">
            <v>M1205R</v>
          </cell>
          <cell r="C236" t="str">
            <v>Men's Short Sleeve Tops</v>
          </cell>
          <cell r="D236" t="str">
            <v>White</v>
          </cell>
          <cell r="E236" t="str">
            <v>94%POLYESTER 6%ELASTANE</v>
          </cell>
          <cell r="F236" t="str">
            <v>VN</v>
          </cell>
          <cell r="H236">
            <v>11</v>
          </cell>
          <cell r="I236">
            <v>34</v>
          </cell>
          <cell r="J236">
            <v>374</v>
          </cell>
          <cell r="K236" t="str">
            <v>6109.90.1007</v>
          </cell>
          <cell r="L236" t="str">
            <v>6109.90.20.00.12</v>
          </cell>
        </row>
        <row r="237">
          <cell r="B237" t="str">
            <v>M1205R</v>
          </cell>
          <cell r="C237" t="str">
            <v>Men's Short Sleeve Tops</v>
          </cell>
          <cell r="D237" t="str">
            <v>Black</v>
          </cell>
          <cell r="E237" t="str">
            <v>94%POLYESTER 6%ELASTANE</v>
          </cell>
          <cell r="F237" t="str">
            <v>VN</v>
          </cell>
          <cell r="H237">
            <v>11</v>
          </cell>
          <cell r="I237">
            <v>41</v>
          </cell>
          <cell r="J237">
            <v>451</v>
          </cell>
          <cell r="K237" t="str">
            <v>6109.90.1007</v>
          </cell>
          <cell r="L237" t="str">
            <v>6109.90.20.00.12</v>
          </cell>
        </row>
        <row r="238">
          <cell r="B238" t="str">
            <v>M1205R</v>
          </cell>
          <cell r="C238" t="str">
            <v>Men's Short Sleeve Tops</v>
          </cell>
          <cell r="D238" t="str">
            <v>Stealth Green</v>
          </cell>
          <cell r="E238" t="str">
            <v>94%POLYESTER 6%ELASTANE</v>
          </cell>
          <cell r="F238" t="str">
            <v>NI</v>
          </cell>
          <cell r="H238">
            <v>10.69</v>
          </cell>
          <cell r="I238">
            <v>19</v>
          </cell>
          <cell r="J238">
            <v>203.11</v>
          </cell>
          <cell r="K238" t="str">
            <v>6109.90.1007</v>
          </cell>
          <cell r="L238" t="str">
            <v>6109.90.20.00.12</v>
          </cell>
        </row>
        <row r="239">
          <cell r="B239" t="str">
            <v>M3079R</v>
          </cell>
          <cell r="C239" t="str">
            <v>Men's Long Sleeve Tops</v>
          </cell>
          <cell r="D239" t="str">
            <v>White</v>
          </cell>
          <cell r="E239" t="str">
            <v>50%POLYESTER 25%COTTON 25%VISCOSE</v>
          </cell>
          <cell r="F239" t="str">
            <v>NI</v>
          </cell>
          <cell r="H239">
            <v>9.4499999999999993</v>
          </cell>
          <cell r="I239">
            <v>16</v>
          </cell>
          <cell r="J239">
            <v>151.19999999999999</v>
          </cell>
          <cell r="K239" t="str">
            <v>6109.90.1007</v>
          </cell>
          <cell r="L239" t="str">
            <v>6109.90.20.00.12</v>
          </cell>
        </row>
        <row r="240">
          <cell r="B240" t="str">
            <v>M3079R</v>
          </cell>
          <cell r="C240" t="str">
            <v>Men's Long Sleeve Tops</v>
          </cell>
          <cell r="D240" t="str">
            <v>Black</v>
          </cell>
          <cell r="E240" t="str">
            <v>50%POLYESTER 25%COTTON 25%VISCOSE</v>
          </cell>
          <cell r="F240" t="str">
            <v>NI</v>
          </cell>
          <cell r="H240">
            <v>9.4499999999999993</v>
          </cell>
          <cell r="I240">
            <v>16</v>
          </cell>
          <cell r="J240">
            <v>151.19999999999999</v>
          </cell>
          <cell r="K240" t="str">
            <v>6109.90.1007</v>
          </cell>
          <cell r="L240" t="str">
            <v>6109.90.20.00.12</v>
          </cell>
        </row>
        <row r="241">
          <cell r="B241" t="str">
            <v>M1133R</v>
          </cell>
          <cell r="C241" t="str">
            <v>Men's Short Sleeve Tops</v>
          </cell>
          <cell r="D241" t="str">
            <v>White</v>
          </cell>
          <cell r="E241" t="str">
            <v>52%COTTON 48%POLYESTER</v>
          </cell>
          <cell r="F241" t="str">
            <v>NI</v>
          </cell>
          <cell r="H241">
            <v>8.19</v>
          </cell>
          <cell r="I241">
            <v>49</v>
          </cell>
          <cell r="J241">
            <v>401.31</v>
          </cell>
          <cell r="K241" t="str">
            <v>6109.90.1007</v>
          </cell>
          <cell r="L241" t="str">
            <v>6109.90.20.00.12</v>
          </cell>
        </row>
        <row r="242">
          <cell r="B242" t="str">
            <v>M1133R</v>
          </cell>
          <cell r="C242" t="str">
            <v>Men's Short Sleeve Tops</v>
          </cell>
          <cell r="D242" t="str">
            <v>Black</v>
          </cell>
          <cell r="E242" t="str">
            <v>50%POLYESTER 25%COTTON 25%VISCOSE</v>
          </cell>
          <cell r="F242" t="str">
            <v>NI</v>
          </cell>
          <cell r="H242">
            <v>8.19</v>
          </cell>
          <cell r="I242">
            <v>46</v>
          </cell>
          <cell r="J242">
            <v>376.74</v>
          </cell>
          <cell r="K242" t="str">
            <v>6109.90.1007</v>
          </cell>
          <cell r="L242" t="str">
            <v>6109.90.20.00.12</v>
          </cell>
        </row>
        <row r="243">
          <cell r="B243" t="str">
            <v>M1133R</v>
          </cell>
          <cell r="C243" t="str">
            <v>Men's Short Sleeve Tops</v>
          </cell>
          <cell r="D243" t="str">
            <v>Athletic Heather Grey</v>
          </cell>
          <cell r="E243" t="str">
            <v>50%POLYESTER 25%COTTON 25%RAYON</v>
          </cell>
          <cell r="F243" t="str">
            <v>NI</v>
          </cell>
          <cell r="H243">
            <v>8.19</v>
          </cell>
          <cell r="I243">
            <v>35</v>
          </cell>
          <cell r="J243">
            <v>286.64999999999998</v>
          </cell>
          <cell r="K243" t="str">
            <v>6109.90.1007</v>
          </cell>
          <cell r="L243" t="str">
            <v>6109.90.20.00.12</v>
          </cell>
        </row>
        <row r="244">
          <cell r="B244" t="str">
            <v>M1133R</v>
          </cell>
          <cell r="C244" t="str">
            <v>Men's Short Sleeve Tops</v>
          </cell>
          <cell r="D244" t="str">
            <v>Navy</v>
          </cell>
          <cell r="E244" t="str">
            <v>50%POLYESTER 25%COTTON 25%VISCOSE</v>
          </cell>
          <cell r="F244" t="str">
            <v>NI</v>
          </cell>
          <cell r="H244">
            <v>8.19</v>
          </cell>
          <cell r="I244">
            <v>35</v>
          </cell>
          <cell r="J244">
            <v>286.64999999999998</v>
          </cell>
          <cell r="K244" t="str">
            <v>6109.90.1007</v>
          </cell>
          <cell r="L244" t="str">
            <v>6109.90.20.00.12</v>
          </cell>
        </row>
        <row r="245">
          <cell r="B245" t="str">
            <v>M1133R</v>
          </cell>
          <cell r="C245" t="str">
            <v>Men's Short Sleeve Tops</v>
          </cell>
          <cell r="D245" t="str">
            <v>Steel Grey</v>
          </cell>
          <cell r="E245" t="str">
            <v>50%POLYESTER 25%COTTON 25%VISCOSE</v>
          </cell>
          <cell r="F245" t="str">
            <v>NI</v>
          </cell>
          <cell r="H245">
            <v>8.19</v>
          </cell>
          <cell r="I245">
            <v>5</v>
          </cell>
          <cell r="J245">
            <v>40.950000000000003</v>
          </cell>
          <cell r="K245" t="str">
            <v>6109.90.1007</v>
          </cell>
          <cell r="L245" t="str">
            <v>6109.90.20.00.12</v>
          </cell>
        </row>
        <row r="246">
          <cell r="B246" t="str">
            <v>M1205R</v>
          </cell>
          <cell r="C246" t="str">
            <v>Men's Short Sleeve Tops</v>
          </cell>
          <cell r="D246" t="str">
            <v>Black</v>
          </cell>
          <cell r="E246" t="str">
            <v>94%POLYESTER 6%ELASTANE</v>
          </cell>
          <cell r="F246" t="str">
            <v>VN</v>
          </cell>
          <cell r="H246">
            <v>11</v>
          </cell>
          <cell r="I246">
            <v>41</v>
          </cell>
          <cell r="J246">
            <v>451</v>
          </cell>
          <cell r="K246" t="str">
            <v>6109.90.1007</v>
          </cell>
          <cell r="L246" t="str">
            <v>6109.90.20.00.12</v>
          </cell>
        </row>
        <row r="247">
          <cell r="B247" t="str">
            <v>M1205R</v>
          </cell>
          <cell r="C247" t="str">
            <v>Men's Short Sleeve Tops</v>
          </cell>
          <cell r="D247" t="str">
            <v>Athletic Heather Grey</v>
          </cell>
          <cell r="E247" t="str">
            <v>94%POLYESTER 6%ELASTANE</v>
          </cell>
          <cell r="F247" t="str">
            <v>VN</v>
          </cell>
          <cell r="H247">
            <v>11</v>
          </cell>
          <cell r="I247">
            <v>26</v>
          </cell>
          <cell r="J247">
            <v>286</v>
          </cell>
          <cell r="K247" t="str">
            <v>6109.90.1007</v>
          </cell>
          <cell r="L247" t="str">
            <v>6109.90.20.00.12</v>
          </cell>
        </row>
        <row r="248">
          <cell r="B248" t="str">
            <v>M3079R</v>
          </cell>
          <cell r="C248" t="str">
            <v>Men's Long Sleeve Tops</v>
          </cell>
          <cell r="D248" t="str">
            <v>Black</v>
          </cell>
          <cell r="E248" t="str">
            <v>50%POLYESTER 25%COTTON 25%VISCOSE</v>
          </cell>
          <cell r="F248" t="str">
            <v>NI</v>
          </cell>
          <cell r="H248">
            <v>9.4499999999999993</v>
          </cell>
          <cell r="I248">
            <v>14</v>
          </cell>
          <cell r="J248">
            <v>132.30000000000001</v>
          </cell>
          <cell r="K248" t="str">
            <v>6109.90.1007</v>
          </cell>
          <cell r="L248" t="str">
            <v>6109.90.20.00.12</v>
          </cell>
        </row>
        <row r="249">
          <cell r="B249" t="str">
            <v>M1133R</v>
          </cell>
          <cell r="C249" t="str">
            <v>Men's Short Sleeve Tops</v>
          </cell>
          <cell r="D249" t="str">
            <v>Gravel</v>
          </cell>
          <cell r="E249" t="str">
            <v>50%POLYESTER 25%COTTON 25%VISCOSE</v>
          </cell>
          <cell r="F249" t="str">
            <v>NI</v>
          </cell>
          <cell r="H249">
            <v>8.19</v>
          </cell>
          <cell r="I249">
            <v>16</v>
          </cell>
          <cell r="J249">
            <v>131.04</v>
          </cell>
          <cell r="K249" t="str">
            <v>6109.90.1007</v>
          </cell>
          <cell r="L249" t="str">
            <v>6109.90.20.00.12</v>
          </cell>
        </row>
        <row r="250">
          <cell r="B250" t="str">
            <v>M2033R</v>
          </cell>
          <cell r="C250" t="str">
            <v>Men's Tanks</v>
          </cell>
          <cell r="D250" t="str">
            <v>White</v>
          </cell>
          <cell r="E250" t="str">
            <v>50%POLYESTER 25%COTTON 25%VISCOSE</v>
          </cell>
          <cell r="F250" t="str">
            <v>NI</v>
          </cell>
          <cell r="H250">
            <v>7.51</v>
          </cell>
          <cell r="I250">
            <v>24</v>
          </cell>
          <cell r="J250">
            <v>180.24</v>
          </cell>
          <cell r="K250" t="str">
            <v>6109.90.1013</v>
          </cell>
          <cell r="L250" t="str">
            <v>6109.90.20.00.12</v>
          </cell>
        </row>
        <row r="251">
          <cell r="B251" t="str">
            <v>M2033R</v>
          </cell>
          <cell r="C251" t="str">
            <v>Men's Tanks</v>
          </cell>
          <cell r="D251" t="str">
            <v>Black</v>
          </cell>
          <cell r="E251" t="str">
            <v>50%POLYESTER 25%COTTON 25%VISCOSE</v>
          </cell>
          <cell r="F251" t="str">
            <v>NI</v>
          </cell>
          <cell r="H251">
            <v>7.51</v>
          </cell>
          <cell r="I251">
            <v>24</v>
          </cell>
          <cell r="J251">
            <v>180.24</v>
          </cell>
          <cell r="K251" t="str">
            <v>6109.90.1013</v>
          </cell>
          <cell r="L251" t="str">
            <v>6109.90.20.00.12</v>
          </cell>
        </row>
        <row r="252">
          <cell r="B252" t="str">
            <v>M2033R</v>
          </cell>
          <cell r="C252" t="str">
            <v>Men's Tanks</v>
          </cell>
          <cell r="D252" t="str">
            <v>Steel Grey</v>
          </cell>
          <cell r="E252" t="str">
            <v>50%POLYESTER 25%COTTON 25%VISCOSE</v>
          </cell>
          <cell r="F252" t="str">
            <v>NI</v>
          </cell>
          <cell r="H252">
            <v>7.51</v>
          </cell>
          <cell r="I252">
            <v>11</v>
          </cell>
          <cell r="J252">
            <v>82.61</v>
          </cell>
          <cell r="K252" t="str">
            <v>6109.90.1013</v>
          </cell>
          <cell r="L252" t="str">
            <v>6109.90.20.00.12</v>
          </cell>
        </row>
        <row r="253">
          <cell r="B253" t="str">
            <v>M2033R</v>
          </cell>
          <cell r="C253" t="str">
            <v>Men's Tanks</v>
          </cell>
          <cell r="D253" t="str">
            <v>Italian Plum</v>
          </cell>
          <cell r="E253" t="str">
            <v>50%POLYESTER 25%COTTON 25%RAYON</v>
          </cell>
          <cell r="F253" t="str">
            <v>NI</v>
          </cell>
          <cell r="H253">
            <v>5.82</v>
          </cell>
          <cell r="I253">
            <v>11</v>
          </cell>
          <cell r="J253">
            <v>64.02</v>
          </cell>
          <cell r="K253" t="str">
            <v>6109.90.1013</v>
          </cell>
          <cell r="L253" t="str">
            <v>6109.90.20.00.12</v>
          </cell>
        </row>
        <row r="254">
          <cell r="B254" t="str">
            <v>M2033R</v>
          </cell>
          <cell r="C254" t="str">
            <v>Men's Tanks</v>
          </cell>
          <cell r="D254" t="str">
            <v>White</v>
          </cell>
          <cell r="E254" t="str">
            <v>50%POLYESTER 25%COTTON 25%VISCOSE</v>
          </cell>
          <cell r="F254" t="str">
            <v>NI</v>
          </cell>
          <cell r="H254">
            <v>7.51</v>
          </cell>
          <cell r="I254">
            <v>14</v>
          </cell>
          <cell r="J254">
            <v>105.14</v>
          </cell>
          <cell r="K254" t="str">
            <v>6109.90.1013</v>
          </cell>
          <cell r="L254" t="str">
            <v>6109.90.20.00.12</v>
          </cell>
        </row>
        <row r="255">
          <cell r="B255" t="str">
            <v>M2033R</v>
          </cell>
          <cell r="C255" t="str">
            <v>Men's Tanks</v>
          </cell>
          <cell r="D255" t="str">
            <v>Black</v>
          </cell>
          <cell r="E255" t="str">
            <v>50%POLYESTER 25%COTTON 25%VISCOSE</v>
          </cell>
          <cell r="F255" t="str">
            <v>NI</v>
          </cell>
          <cell r="H255">
            <v>7.51</v>
          </cell>
          <cell r="I255">
            <v>16</v>
          </cell>
          <cell r="J255">
            <v>120.16</v>
          </cell>
          <cell r="K255" t="str">
            <v>6109.90.1013</v>
          </cell>
          <cell r="L255" t="str">
            <v>6109.90.20.00.12</v>
          </cell>
        </row>
        <row r="256">
          <cell r="B256" t="str">
            <v>M2066R</v>
          </cell>
          <cell r="C256" t="str">
            <v>Men's Tanks</v>
          </cell>
          <cell r="D256" t="str">
            <v>Espresso</v>
          </cell>
          <cell r="E256" t="str">
            <v>94%POLYESTER 6%ELASTANE</v>
          </cell>
          <cell r="F256" t="str">
            <v>CN</v>
          </cell>
          <cell r="H256">
            <v>7.93</v>
          </cell>
          <cell r="I256">
            <v>16</v>
          </cell>
          <cell r="J256">
            <v>126.88</v>
          </cell>
          <cell r="K256" t="str">
            <v>6109.90.1049</v>
          </cell>
          <cell r="L256" t="str">
            <v>6109.90.20.00.12</v>
          </cell>
        </row>
        <row r="257">
          <cell r="B257" t="str">
            <v>M2066R</v>
          </cell>
          <cell r="C257" t="str">
            <v>Men's Tanks</v>
          </cell>
          <cell r="D257" t="str">
            <v>Eclipse Blue</v>
          </cell>
          <cell r="E257" t="str">
            <v>94%POLYESTER 6%ELASTANE</v>
          </cell>
          <cell r="F257" t="str">
            <v>VN</v>
          </cell>
          <cell r="H257">
            <v>9.27</v>
          </cell>
          <cell r="I257">
            <v>19</v>
          </cell>
          <cell r="J257">
            <v>176.13</v>
          </cell>
          <cell r="K257" t="str">
            <v>6109.90.1049</v>
          </cell>
          <cell r="L257" t="str">
            <v>6109.90.20.00.12</v>
          </cell>
        </row>
        <row r="258">
          <cell r="B258" t="str">
            <v>M2066R</v>
          </cell>
          <cell r="C258" t="str">
            <v>Men's Tanks</v>
          </cell>
          <cell r="D258" t="str">
            <v>White</v>
          </cell>
          <cell r="E258" t="str">
            <v>94%POLYESTER 6%ELASTANE</v>
          </cell>
          <cell r="F258" t="str">
            <v>NI</v>
          </cell>
          <cell r="H258">
            <v>9.83</v>
          </cell>
          <cell r="I258">
            <v>30</v>
          </cell>
          <cell r="J258">
            <v>294.89999999999998</v>
          </cell>
          <cell r="K258" t="str">
            <v>6109.90.1049</v>
          </cell>
          <cell r="L258" t="str">
            <v>6109.90.20.00.12</v>
          </cell>
        </row>
        <row r="259">
          <cell r="B259" t="str">
            <v>M2066R</v>
          </cell>
          <cell r="C259" t="str">
            <v>Men's Tanks</v>
          </cell>
          <cell r="D259" t="str">
            <v>Black</v>
          </cell>
          <cell r="E259" t="str">
            <v>94%POLYESTER 6%ELASTANE</v>
          </cell>
          <cell r="F259" t="str">
            <v>NI</v>
          </cell>
          <cell r="H259">
            <v>9.83</v>
          </cell>
          <cell r="I259">
            <v>28</v>
          </cell>
          <cell r="J259">
            <v>275.24</v>
          </cell>
          <cell r="K259" t="str">
            <v>6109.90.1049</v>
          </cell>
          <cell r="L259" t="str">
            <v>6109.90.20.00.12</v>
          </cell>
        </row>
        <row r="260">
          <cell r="B260" t="str">
            <v>M2066R</v>
          </cell>
          <cell r="C260" t="str">
            <v>Men's Tanks</v>
          </cell>
          <cell r="D260" t="str">
            <v>Athletic Heather Grey</v>
          </cell>
          <cell r="E260" t="str">
            <v>94%POLYESTER 6%ELASTANE</v>
          </cell>
          <cell r="F260" t="str">
            <v>NI</v>
          </cell>
          <cell r="H260">
            <v>9.83</v>
          </cell>
          <cell r="I260">
            <v>24</v>
          </cell>
          <cell r="J260">
            <v>235.92</v>
          </cell>
          <cell r="K260" t="str">
            <v>6109.90.1049</v>
          </cell>
          <cell r="L260" t="str">
            <v>6109.90.20.00.12</v>
          </cell>
        </row>
        <row r="261">
          <cell r="B261" t="str">
            <v>M2066R</v>
          </cell>
          <cell r="C261" t="str">
            <v>Men's Tanks</v>
          </cell>
          <cell r="D261" t="str">
            <v>Stealth Green</v>
          </cell>
          <cell r="E261" t="str">
            <v>94%POLYESTER 6%ELASTANE</v>
          </cell>
          <cell r="F261" t="str">
            <v>NI</v>
          </cell>
          <cell r="H261">
            <v>10.31</v>
          </cell>
          <cell r="I261">
            <v>20</v>
          </cell>
          <cell r="J261">
            <v>206.2</v>
          </cell>
          <cell r="K261" t="str">
            <v>6109.90.1049</v>
          </cell>
          <cell r="L261" t="str">
            <v>6109.90.20.00.12</v>
          </cell>
        </row>
        <row r="262">
          <cell r="B262" t="str">
            <v>M3181R</v>
          </cell>
          <cell r="C262" t="str">
            <v>Men's Long Sleeve Tops</v>
          </cell>
          <cell r="D262" t="str">
            <v>White</v>
          </cell>
          <cell r="E262" t="str">
            <v>94%POLYESTER 6%ELASTANE</v>
          </cell>
          <cell r="F262" t="str">
            <v>NI</v>
          </cell>
          <cell r="H262">
            <v>14.21</v>
          </cell>
          <cell r="I262">
            <v>20</v>
          </cell>
          <cell r="J262">
            <v>284.2</v>
          </cell>
          <cell r="K262" t="str">
            <v>6109.90.1049</v>
          </cell>
          <cell r="L262" t="str">
            <v>6109.90.20.00.12</v>
          </cell>
        </row>
        <row r="263">
          <cell r="B263" t="str">
            <v>M3181R</v>
          </cell>
          <cell r="C263" t="str">
            <v>Men's Long Sleeve Tops</v>
          </cell>
          <cell r="D263" t="str">
            <v>Black</v>
          </cell>
          <cell r="E263" t="str">
            <v>94%POLYESTER 6%ELASTANE</v>
          </cell>
          <cell r="F263" t="str">
            <v>NI</v>
          </cell>
          <cell r="H263">
            <v>14.21</v>
          </cell>
          <cell r="I263">
            <v>20</v>
          </cell>
          <cell r="J263">
            <v>284.2</v>
          </cell>
          <cell r="K263" t="str">
            <v>6109.90.1049</v>
          </cell>
          <cell r="L263" t="str">
            <v>6109.90.20.00.12</v>
          </cell>
        </row>
        <row r="264">
          <cell r="B264" t="str">
            <v>W1430R</v>
          </cell>
          <cell r="C264" t="str">
            <v>Women's Short Sleeve Tops</v>
          </cell>
          <cell r="D264" t="str">
            <v>White</v>
          </cell>
          <cell r="E264" t="str">
            <v>93%MODAL 7%ELASTANE</v>
          </cell>
          <cell r="F264" t="str">
            <v>VN</v>
          </cell>
          <cell r="H264">
            <v>5.39</v>
          </cell>
          <cell r="I264">
            <v>31</v>
          </cell>
          <cell r="J264">
            <v>167.09</v>
          </cell>
          <cell r="K264" t="str">
            <v>6109.90.1050</v>
          </cell>
          <cell r="L264" t="str">
            <v>6109.90.20.00.12</v>
          </cell>
        </row>
        <row r="265">
          <cell r="B265" t="str">
            <v>W1430R</v>
          </cell>
          <cell r="C265" t="str">
            <v>Women's Short Sleeve Tops</v>
          </cell>
          <cell r="D265" t="str">
            <v>Black</v>
          </cell>
          <cell r="E265" t="str">
            <v>93%MODAL 7%ELASTANE</v>
          </cell>
          <cell r="F265" t="str">
            <v>VN</v>
          </cell>
          <cell r="H265">
            <v>5.39</v>
          </cell>
          <cell r="I265">
            <v>31</v>
          </cell>
          <cell r="J265">
            <v>167.09</v>
          </cell>
          <cell r="K265" t="str">
            <v>6109.90.1050</v>
          </cell>
          <cell r="L265" t="str">
            <v>6109.90.20.00.12</v>
          </cell>
        </row>
        <row r="266">
          <cell r="B266" t="str">
            <v>W1444R</v>
          </cell>
          <cell r="C266" t="str">
            <v>Women's Short Sleeve Tops</v>
          </cell>
          <cell r="D266" t="str">
            <v>White</v>
          </cell>
          <cell r="E266" t="str">
            <v>93%MODAL 7%ELASTANE</v>
          </cell>
          <cell r="F266" t="str">
            <v>VN</v>
          </cell>
          <cell r="H266">
            <v>5.46</v>
          </cell>
          <cell r="I266">
            <v>14</v>
          </cell>
          <cell r="J266">
            <v>76.44</v>
          </cell>
          <cell r="K266" t="str">
            <v>6109.90.1050</v>
          </cell>
          <cell r="L266" t="str">
            <v>6109.90.20.00.12</v>
          </cell>
        </row>
        <row r="267">
          <cell r="B267" t="str">
            <v>W1444R</v>
          </cell>
          <cell r="C267" t="str">
            <v>Women's Short Sleeve Tops</v>
          </cell>
          <cell r="D267" t="str">
            <v>Black</v>
          </cell>
          <cell r="E267" t="str">
            <v>93%MODAL 7%ELASTANE</v>
          </cell>
          <cell r="F267" t="str">
            <v>VN</v>
          </cell>
          <cell r="H267">
            <v>5.46</v>
          </cell>
          <cell r="I267">
            <v>14</v>
          </cell>
          <cell r="J267">
            <v>76.44</v>
          </cell>
          <cell r="K267" t="str">
            <v>6109.90.1050</v>
          </cell>
          <cell r="L267" t="str">
            <v>6109.90.20.00.12</v>
          </cell>
        </row>
        <row r="268">
          <cell r="B268" t="str">
            <v>W1404R</v>
          </cell>
          <cell r="C268" t="str">
            <v>Women's Short Sleeve Tops</v>
          </cell>
          <cell r="D268" t="str">
            <v>White</v>
          </cell>
          <cell r="E268" t="str">
            <v>94%POLYESTER 6%ELASTANE</v>
          </cell>
          <cell r="F268" t="str">
            <v>NI</v>
          </cell>
          <cell r="H268">
            <v>9.1</v>
          </cell>
          <cell r="I268">
            <v>24</v>
          </cell>
          <cell r="J268">
            <v>218.4</v>
          </cell>
          <cell r="K268" t="str">
            <v>6109.90.1050</v>
          </cell>
          <cell r="L268" t="str">
            <v>6109.90.20.00.12</v>
          </cell>
        </row>
        <row r="269">
          <cell r="B269" t="str">
            <v>W1404R</v>
          </cell>
          <cell r="C269" t="str">
            <v>Women's Short Sleeve Tops</v>
          </cell>
          <cell r="D269" t="str">
            <v>Black</v>
          </cell>
          <cell r="E269" t="str">
            <v>94%POLYESTER 6%ELASTANE</v>
          </cell>
          <cell r="F269" t="str">
            <v>NI</v>
          </cell>
          <cell r="H269">
            <v>9.1</v>
          </cell>
          <cell r="I269">
            <v>24</v>
          </cell>
          <cell r="J269">
            <v>218.4</v>
          </cell>
          <cell r="K269" t="str">
            <v>6109.90.1050</v>
          </cell>
          <cell r="L269" t="str">
            <v>6109.90.20.00.12</v>
          </cell>
        </row>
        <row r="270">
          <cell r="B270" t="str">
            <v>W1404R</v>
          </cell>
          <cell r="C270" t="str">
            <v>Women's Short Sleeve Tops</v>
          </cell>
          <cell r="D270" t="str">
            <v>White</v>
          </cell>
          <cell r="E270" t="str">
            <v>94%POLYESTER 6%ELASTANE</v>
          </cell>
          <cell r="F270" t="str">
            <v>NI</v>
          </cell>
          <cell r="H270">
            <v>9.1</v>
          </cell>
          <cell r="I270">
            <v>69</v>
          </cell>
          <cell r="J270">
            <v>627.9</v>
          </cell>
          <cell r="K270" t="str">
            <v>6109.90.1050</v>
          </cell>
          <cell r="L270" t="str">
            <v>6109.90.20.00.12</v>
          </cell>
        </row>
        <row r="271">
          <cell r="B271" t="str">
            <v>W1404R</v>
          </cell>
          <cell r="C271" t="str">
            <v>Women's Short Sleeve Tops</v>
          </cell>
          <cell r="D271" t="str">
            <v>Black</v>
          </cell>
          <cell r="E271" t="str">
            <v>94%POLYESTER 6%ELASTANE</v>
          </cell>
          <cell r="F271" t="str">
            <v>NI</v>
          </cell>
          <cell r="H271">
            <v>9.1</v>
          </cell>
          <cell r="I271">
            <v>81</v>
          </cell>
          <cell r="J271">
            <v>737.1</v>
          </cell>
          <cell r="K271" t="str">
            <v>6109.90.1050</v>
          </cell>
          <cell r="L271" t="str">
            <v>6109.90.20.00.12</v>
          </cell>
        </row>
        <row r="272">
          <cell r="B272" t="str">
            <v>W2730R</v>
          </cell>
          <cell r="C272" t="str">
            <v>Women's Tanks</v>
          </cell>
          <cell r="D272" t="str">
            <v>White</v>
          </cell>
          <cell r="E272" t="str">
            <v>93%MODAL 7%ELASTANE</v>
          </cell>
          <cell r="F272" t="str">
            <v>VN</v>
          </cell>
          <cell r="H272">
            <v>5.97</v>
          </cell>
          <cell r="I272">
            <v>18</v>
          </cell>
          <cell r="J272">
            <v>107.46</v>
          </cell>
          <cell r="K272" t="str">
            <v>6109.90.1065</v>
          </cell>
          <cell r="L272" t="str">
            <v>6109.90.20.00.12</v>
          </cell>
        </row>
        <row r="273">
          <cell r="B273" t="str">
            <v>W2730R</v>
          </cell>
          <cell r="C273" t="str">
            <v>Women's Tanks</v>
          </cell>
          <cell r="D273" t="str">
            <v>Black</v>
          </cell>
          <cell r="E273" t="str">
            <v>93%MODAL 7%ELASTANE</v>
          </cell>
          <cell r="F273" t="str">
            <v>VN</v>
          </cell>
          <cell r="H273">
            <v>5.97</v>
          </cell>
          <cell r="I273">
            <v>18</v>
          </cell>
          <cell r="J273">
            <v>107.46</v>
          </cell>
          <cell r="K273" t="str">
            <v>6109.90.1065</v>
          </cell>
          <cell r="L273" t="str">
            <v>6109.90.20.00.12</v>
          </cell>
        </row>
        <row r="274">
          <cell r="B274" t="str">
            <v>W2730R</v>
          </cell>
          <cell r="C274" t="str">
            <v>Women's Tanks</v>
          </cell>
          <cell r="D274" t="str">
            <v>Steel Grey</v>
          </cell>
          <cell r="E274" t="str">
            <v>93%MODAL 7%ELASTANE</v>
          </cell>
          <cell r="F274" t="str">
            <v>VN</v>
          </cell>
          <cell r="H274">
            <v>5.97</v>
          </cell>
          <cell r="I274">
            <v>14</v>
          </cell>
          <cell r="J274">
            <v>83.58</v>
          </cell>
          <cell r="K274" t="str">
            <v>6109.90.1065</v>
          </cell>
          <cell r="L274" t="str">
            <v>6109.90.20.00.12</v>
          </cell>
        </row>
        <row r="275">
          <cell r="B275" t="str">
            <v>W2730R</v>
          </cell>
          <cell r="C275" t="str">
            <v>Women's Tanks</v>
          </cell>
          <cell r="D275" t="str">
            <v>Eclipse Blue</v>
          </cell>
          <cell r="E275" t="str">
            <v>93%MODAL 7%ELASTANE</v>
          </cell>
          <cell r="F275" t="str">
            <v>VN</v>
          </cell>
          <cell r="H275">
            <v>6.08</v>
          </cell>
          <cell r="I275">
            <v>14</v>
          </cell>
          <cell r="J275">
            <v>85.12</v>
          </cell>
          <cell r="K275" t="str">
            <v>6109.90.1065</v>
          </cell>
          <cell r="L275" t="str">
            <v>6109.90.20.00.12</v>
          </cell>
        </row>
        <row r="276">
          <cell r="B276" t="str">
            <v>W3852R</v>
          </cell>
          <cell r="C276" t="str">
            <v>Women's Long Sleeve Tops</v>
          </cell>
          <cell r="D276" t="str">
            <v>Black</v>
          </cell>
          <cell r="E276" t="str">
            <v>87%NYLON 13%ELASTANE</v>
          </cell>
          <cell r="F276" t="str">
            <v>VN</v>
          </cell>
          <cell r="H276">
            <v>16.21</v>
          </cell>
          <cell r="I276">
            <v>12</v>
          </cell>
          <cell r="J276">
            <v>194.52</v>
          </cell>
          <cell r="K276" t="str">
            <v>6109.90.1090</v>
          </cell>
          <cell r="L276" t="str">
            <v>6109.90.20.00.12</v>
          </cell>
        </row>
        <row r="277">
          <cell r="B277" t="str">
            <v>W3852R</v>
          </cell>
          <cell r="C277" t="str">
            <v>Women's Long Sleeve Tops</v>
          </cell>
          <cell r="D277" t="str">
            <v>Navy</v>
          </cell>
          <cell r="E277" t="str">
            <v>87%NYLON 13%ELASTANE</v>
          </cell>
          <cell r="F277" t="str">
            <v>VN</v>
          </cell>
          <cell r="H277">
            <v>16.21</v>
          </cell>
          <cell r="I277">
            <v>12</v>
          </cell>
          <cell r="J277">
            <v>194.52</v>
          </cell>
          <cell r="K277" t="str">
            <v>6109.90.1090</v>
          </cell>
          <cell r="L277" t="str">
            <v>6109.90.20.00.12</v>
          </cell>
        </row>
        <row r="278">
          <cell r="B278" t="str">
            <v>W3852R</v>
          </cell>
          <cell r="C278" t="str">
            <v>Women's Long Sleeve Tops</v>
          </cell>
          <cell r="D278" t="str">
            <v>Black</v>
          </cell>
          <cell r="E278" t="str">
            <v>87%NYLON 13%ELASTANE</v>
          </cell>
          <cell r="F278" t="str">
            <v>VN</v>
          </cell>
          <cell r="H278">
            <v>16.21</v>
          </cell>
          <cell r="I278">
            <v>31</v>
          </cell>
          <cell r="J278">
            <v>502.51</v>
          </cell>
          <cell r="K278" t="str">
            <v>6109.90.1090</v>
          </cell>
          <cell r="L278" t="str">
            <v>6109.90.20.00.12</v>
          </cell>
        </row>
        <row r="279">
          <cell r="B279" t="str">
            <v>W3442R</v>
          </cell>
          <cell r="C279" t="str">
            <v>Women's Long Sleeve Tops</v>
          </cell>
          <cell r="D279" t="str">
            <v>White</v>
          </cell>
          <cell r="E279" t="str">
            <v>94%POLYESTER 6%ELASTANE</v>
          </cell>
          <cell r="F279" t="str">
            <v>NI</v>
          </cell>
          <cell r="H279">
            <v>11.32</v>
          </cell>
          <cell r="I279">
            <v>18</v>
          </cell>
          <cell r="J279">
            <v>203.76</v>
          </cell>
          <cell r="K279" t="str">
            <v>6109.90.1090</v>
          </cell>
          <cell r="L279" t="str">
            <v>6109.90.20.00.12</v>
          </cell>
        </row>
        <row r="280">
          <cell r="B280" t="str">
            <v>W3442R</v>
          </cell>
          <cell r="C280" t="str">
            <v>Women's Long Sleeve Tops</v>
          </cell>
          <cell r="D280" t="str">
            <v>Black</v>
          </cell>
          <cell r="E280" t="str">
            <v>94%POLYESTER 6%ELASTANE</v>
          </cell>
          <cell r="F280" t="str">
            <v>NI</v>
          </cell>
          <cell r="H280">
            <v>11.32</v>
          </cell>
          <cell r="I280">
            <v>18</v>
          </cell>
          <cell r="J280">
            <v>203.76</v>
          </cell>
          <cell r="K280" t="str">
            <v>6109.90.1090</v>
          </cell>
          <cell r="L280" t="str">
            <v>6109.90.20.00.12</v>
          </cell>
        </row>
        <row r="281">
          <cell r="B281" t="str">
            <v>W3442R</v>
          </cell>
          <cell r="C281" t="str">
            <v>Women's Long Sleeve Tops</v>
          </cell>
          <cell r="D281" t="str">
            <v>White</v>
          </cell>
          <cell r="E281" t="str">
            <v>94%POLYESTER 6%ELASTANE</v>
          </cell>
          <cell r="F281" t="str">
            <v>NI</v>
          </cell>
          <cell r="H281">
            <v>11.32</v>
          </cell>
          <cell r="I281">
            <v>44</v>
          </cell>
          <cell r="J281">
            <v>498.08</v>
          </cell>
          <cell r="K281" t="str">
            <v>6109.90.1090</v>
          </cell>
          <cell r="L281" t="str">
            <v>6109.90.20.00.12</v>
          </cell>
        </row>
        <row r="282">
          <cell r="B282" t="str">
            <v>W3442R</v>
          </cell>
          <cell r="C282" t="str">
            <v>Women's Long Sleeve Tops</v>
          </cell>
          <cell r="D282" t="str">
            <v>Black</v>
          </cell>
          <cell r="E282" t="str">
            <v>94%POLYESTER 6%ELASTANE</v>
          </cell>
          <cell r="F282" t="str">
            <v>NI</v>
          </cell>
          <cell r="H282">
            <v>11.32</v>
          </cell>
          <cell r="I282">
            <v>81</v>
          </cell>
          <cell r="J282">
            <v>916.92</v>
          </cell>
          <cell r="K282" t="str">
            <v>6109.90.1090</v>
          </cell>
          <cell r="L282" t="str">
            <v>6109.90.20.00.12</v>
          </cell>
        </row>
        <row r="283">
          <cell r="B283" t="str">
            <v>W2757R</v>
          </cell>
          <cell r="C283" t="str">
            <v>Women's Tanks</v>
          </cell>
          <cell r="D283" t="str">
            <v>White</v>
          </cell>
          <cell r="E283" t="str">
            <v>58%VISCOSE 31%POLYESTER 11%ELASTANE</v>
          </cell>
          <cell r="F283" t="str">
            <v>VN</v>
          </cell>
          <cell r="H283">
            <v>7.47</v>
          </cell>
          <cell r="I283">
            <v>19</v>
          </cell>
          <cell r="J283">
            <v>141.93</v>
          </cell>
          <cell r="K283" t="str">
            <v>6109.90.8030</v>
          </cell>
          <cell r="L283" t="str">
            <v>6109.90.20.00.12</v>
          </cell>
        </row>
        <row r="284">
          <cell r="B284" t="str">
            <v>W2757R</v>
          </cell>
          <cell r="C284" t="str">
            <v>Women's Tanks</v>
          </cell>
          <cell r="D284" t="str">
            <v>Black</v>
          </cell>
          <cell r="E284" t="str">
            <v>58%VISCOSE 31%POLYESTER 11%ELASTANE</v>
          </cell>
          <cell r="F284" t="str">
            <v>VN</v>
          </cell>
          <cell r="H284">
            <v>7.47</v>
          </cell>
          <cell r="I284">
            <v>19</v>
          </cell>
          <cell r="J284">
            <v>141.93</v>
          </cell>
          <cell r="K284" t="str">
            <v>6109.90.8030</v>
          </cell>
          <cell r="L284" t="str">
            <v>6109.90.20.00.12</v>
          </cell>
        </row>
        <row r="285">
          <cell r="B285" t="str">
            <v>W3781R</v>
          </cell>
          <cell r="C285" t="str">
            <v>Women's Long Sleeve Tops</v>
          </cell>
          <cell r="D285" t="str">
            <v>Black</v>
          </cell>
          <cell r="E285" t="str">
            <v>58%RAYON 31%POLYESTER 11%ELASTANE</v>
          </cell>
          <cell r="F285" t="str">
            <v>VN</v>
          </cell>
          <cell r="H285">
            <v>9.01</v>
          </cell>
          <cell r="I285">
            <v>18</v>
          </cell>
          <cell r="J285">
            <v>162.18</v>
          </cell>
          <cell r="K285" t="str">
            <v>6109.90.8030</v>
          </cell>
          <cell r="L285" t="str">
            <v>6109.90.20.00.12</v>
          </cell>
        </row>
        <row r="286">
          <cell r="B286" t="str">
            <v>W3781R</v>
          </cell>
          <cell r="C286" t="str">
            <v>Women's Long Sleeve Tops</v>
          </cell>
          <cell r="D286" t="str">
            <v>Ivory</v>
          </cell>
          <cell r="E286" t="str">
            <v>58%RAYON 31%POLYESTER 11%ELASTANE</v>
          </cell>
          <cell r="F286" t="str">
            <v>VN</v>
          </cell>
          <cell r="H286">
            <v>9.01</v>
          </cell>
          <cell r="I286">
            <v>18</v>
          </cell>
          <cell r="J286">
            <v>162.18</v>
          </cell>
          <cell r="K286" t="str">
            <v>6109.90.8030</v>
          </cell>
          <cell r="L286" t="str">
            <v>6109.90.20.00.12</v>
          </cell>
        </row>
        <row r="287">
          <cell r="B287" t="str">
            <v>W3781R</v>
          </cell>
          <cell r="C287" t="str">
            <v>Women's Long Sleeve Tops</v>
          </cell>
          <cell r="D287" t="str">
            <v>Steel Grey</v>
          </cell>
          <cell r="E287" t="str">
            <v>58%VISCOSE 31%POLYESTER 11%ELASTANE</v>
          </cell>
          <cell r="F287" t="str">
            <v>VN</v>
          </cell>
          <cell r="H287">
            <v>9.25</v>
          </cell>
          <cell r="I287">
            <v>14</v>
          </cell>
          <cell r="J287">
            <v>129.5</v>
          </cell>
          <cell r="K287" t="str">
            <v>6109.90.8030</v>
          </cell>
          <cell r="L287" t="str">
            <v>6109.90.20.00.12</v>
          </cell>
        </row>
        <row r="288">
          <cell r="B288" t="str">
            <v>AMJYTE1059</v>
          </cell>
          <cell r="C288" t="str">
            <v>MA SHOTGUN EMBROIDERED TEE</v>
          </cell>
          <cell r="E288" t="str">
            <v>100% COTTON, RIB: 100% COTTON</v>
          </cell>
          <cell r="F288" t="str">
            <v>IT</v>
          </cell>
          <cell r="H288">
            <v>189</v>
          </cell>
          <cell r="I288">
            <v>46</v>
          </cell>
          <cell r="J288">
            <v>8694</v>
          </cell>
          <cell r="K288" t="str">
            <v>61091000</v>
          </cell>
          <cell r="L288" t="str">
            <v>6109.10.00.00.00</v>
          </cell>
        </row>
        <row r="289">
          <cell r="B289" t="str">
            <v>AMJYTE1071</v>
          </cell>
          <cell r="C289" t="str">
            <v>AMIRI ARTS DISTRICT TEE</v>
          </cell>
          <cell r="E289" t="str">
            <v>100% COTTON</v>
          </cell>
          <cell r="F289" t="str">
            <v>IT</v>
          </cell>
          <cell r="H289">
            <v>130.9</v>
          </cell>
          <cell r="I289">
            <v>70</v>
          </cell>
          <cell r="J289">
            <v>9163</v>
          </cell>
          <cell r="K289" t="str">
            <v>61091000</v>
          </cell>
          <cell r="L289" t="str">
            <v>6109.10.00.00.00</v>
          </cell>
        </row>
        <row r="290">
          <cell r="B290" t="str">
            <v>AMJYTE1073</v>
          </cell>
          <cell r="C290" t="str">
            <v>AMIRI CORE LOGO TEE</v>
          </cell>
          <cell r="E290" t="str">
            <v>100% COTTON</v>
          </cell>
          <cell r="F290" t="str">
            <v>IT</v>
          </cell>
          <cell r="H290">
            <v>113.4</v>
          </cell>
          <cell r="I290">
            <v>108</v>
          </cell>
          <cell r="J290">
            <v>12247.2</v>
          </cell>
          <cell r="K290" t="str">
            <v>61091000</v>
          </cell>
          <cell r="L290" t="str">
            <v>6109.10.00.00.00</v>
          </cell>
        </row>
        <row r="291">
          <cell r="B291" t="str">
            <v>AMJYTE1074</v>
          </cell>
          <cell r="C291" t="str">
            <v>MA CORE LOGO TEE</v>
          </cell>
          <cell r="E291" t="str">
            <v>100% COTTON</v>
          </cell>
          <cell r="F291" t="str">
            <v>IT</v>
          </cell>
          <cell r="H291">
            <v>130.9</v>
          </cell>
          <cell r="I291">
            <v>124</v>
          </cell>
          <cell r="J291">
            <v>16231.6</v>
          </cell>
          <cell r="K291" t="str">
            <v>61091000</v>
          </cell>
          <cell r="L291" t="str">
            <v>6109.10.00.00.00</v>
          </cell>
        </row>
        <row r="292">
          <cell r="B292" t="str">
            <v>AMJYTE1095</v>
          </cell>
          <cell r="C292" t="str">
            <v>MA BANDANA SILK APPLIQUE TEE</v>
          </cell>
          <cell r="E292" t="str">
            <v>100% COTTON</v>
          </cell>
          <cell r="F292" t="str">
            <v>IT</v>
          </cell>
          <cell r="H292">
            <v>195</v>
          </cell>
          <cell r="I292">
            <v>18</v>
          </cell>
          <cell r="J292">
            <v>3510</v>
          </cell>
          <cell r="K292" t="str">
            <v>61091000</v>
          </cell>
          <cell r="L292" t="str">
            <v>6109.10.00.00.00</v>
          </cell>
        </row>
        <row r="293">
          <cell r="B293" t="str">
            <v>AMJYTE1106</v>
          </cell>
          <cell r="C293" t="str">
            <v>MA QUAD TEE</v>
          </cell>
          <cell r="E293" t="str">
            <v>100% COTTON</v>
          </cell>
          <cell r="F293" t="str">
            <v>IT</v>
          </cell>
          <cell r="H293">
            <v>147</v>
          </cell>
          <cell r="I293">
            <v>18</v>
          </cell>
          <cell r="J293">
            <v>2646</v>
          </cell>
          <cell r="K293" t="str">
            <v>61091000</v>
          </cell>
          <cell r="L293" t="str">
            <v>6109.10.00.00.00</v>
          </cell>
        </row>
        <row r="294">
          <cell r="B294" t="str">
            <v>AMJYTE1132</v>
          </cell>
          <cell r="C294" t="str">
            <v>MA QUAD TEE</v>
          </cell>
          <cell r="E294" t="str">
            <v>100% COTTON</v>
          </cell>
          <cell r="F294" t="str">
            <v>IT</v>
          </cell>
          <cell r="H294">
            <v>130.9</v>
          </cell>
          <cell r="I294">
            <v>34</v>
          </cell>
          <cell r="J294">
            <v>4450.6000000000004</v>
          </cell>
          <cell r="K294" t="str">
            <v>61091000</v>
          </cell>
          <cell r="L294" t="str">
            <v>6109.10.00.00.00</v>
          </cell>
        </row>
        <row r="295">
          <cell r="B295" t="str">
            <v>AMJYTE1139</v>
          </cell>
          <cell r="C295" t="str">
            <v>AMIRI CHAMPIONSHIP OS TEE</v>
          </cell>
          <cell r="E295" t="str">
            <v>100% COTTON</v>
          </cell>
          <cell r="F295" t="str">
            <v>IT</v>
          </cell>
          <cell r="H295">
            <v>171.5</v>
          </cell>
          <cell r="I295">
            <v>25</v>
          </cell>
          <cell r="J295">
            <v>4287.5</v>
          </cell>
          <cell r="K295" t="str">
            <v>61091000</v>
          </cell>
          <cell r="L295" t="str">
            <v>6109.10.00.00.00</v>
          </cell>
        </row>
        <row r="296">
          <cell r="B296" t="str">
            <v>AMJYTE1146</v>
          </cell>
          <cell r="C296" t="str">
            <v>AMIRI CITY TEE</v>
          </cell>
          <cell r="E296" t="str">
            <v>100% COTTON</v>
          </cell>
          <cell r="F296" t="str">
            <v>IT</v>
          </cell>
          <cell r="H296">
            <v>130.9</v>
          </cell>
          <cell r="I296">
            <v>36</v>
          </cell>
          <cell r="J296">
            <v>4712.4000000000005</v>
          </cell>
          <cell r="K296" t="str">
            <v>61091000</v>
          </cell>
          <cell r="L296" t="str">
            <v>6109.10.00.00.00</v>
          </cell>
        </row>
        <row r="297">
          <cell r="B297" t="str">
            <v>AMJYTE1148</v>
          </cell>
          <cell r="C297" t="str">
            <v>THREE STAR TEE</v>
          </cell>
          <cell r="E297" t="str">
            <v>100% COTTON</v>
          </cell>
          <cell r="F297" t="str">
            <v>IT</v>
          </cell>
          <cell r="H297">
            <v>130.9</v>
          </cell>
          <cell r="I297">
            <v>40</v>
          </cell>
          <cell r="J297">
            <v>5236</v>
          </cell>
          <cell r="K297" t="str">
            <v>61091000</v>
          </cell>
          <cell r="L297" t="str">
            <v>6109.10.00.00.00</v>
          </cell>
        </row>
        <row r="298">
          <cell r="B298" t="str">
            <v>AMKNTE1016</v>
          </cell>
          <cell r="C298" t="str">
            <v>22 TEE</v>
          </cell>
          <cell r="E298" t="str">
            <v>100% COMPACT EGYPTIAN COTTON</v>
          </cell>
          <cell r="F298" t="str">
            <v>IT</v>
          </cell>
          <cell r="H298">
            <v>247.8</v>
          </cell>
          <cell r="I298">
            <v>14</v>
          </cell>
          <cell r="J298">
            <v>3469.2000000000003</v>
          </cell>
          <cell r="K298" t="str">
            <v>61091000</v>
          </cell>
          <cell r="L298" t="str">
            <v>6109.10.00.00.00</v>
          </cell>
        </row>
        <row r="299">
          <cell r="B299" t="str">
            <v>AWJYTE1034</v>
          </cell>
          <cell r="C299" t="str">
            <v>ARTS DISTRICT CROPPED TEE</v>
          </cell>
          <cell r="E299" t="str">
            <v>100%COTTON, RIB: 100% COTTON</v>
          </cell>
          <cell r="F299" t="str">
            <v>IT</v>
          </cell>
          <cell r="H299">
            <v>113.4</v>
          </cell>
          <cell r="I299">
            <v>15</v>
          </cell>
          <cell r="J299">
            <v>1701</v>
          </cell>
          <cell r="K299" t="str">
            <v>61091000</v>
          </cell>
          <cell r="L299" t="str">
            <v>6109.10.00.00.00</v>
          </cell>
        </row>
        <row r="300">
          <cell r="B300" t="str">
            <v>AWJYTE1035</v>
          </cell>
          <cell r="C300" t="str">
            <v>AMIRI CORE LOGO TEE</v>
          </cell>
          <cell r="E300" t="str">
            <v>100%COTTON, RIB: 100% COTTON</v>
          </cell>
          <cell r="F300" t="str">
            <v>IT</v>
          </cell>
          <cell r="H300">
            <v>102.2</v>
          </cell>
          <cell r="I300">
            <v>40</v>
          </cell>
          <cell r="J300">
            <v>4088</v>
          </cell>
          <cell r="K300" t="str">
            <v>61091000</v>
          </cell>
          <cell r="L300" t="str">
            <v>6109.10.00.00.00</v>
          </cell>
        </row>
        <row r="301">
          <cell r="B301" t="str">
            <v>AWJYTE1036</v>
          </cell>
          <cell r="C301" t="str">
            <v>MA CORE LOGO TEE</v>
          </cell>
          <cell r="E301" t="str">
            <v>100%COTTON, RIB: 100% COTTON</v>
          </cell>
          <cell r="F301" t="str">
            <v>IT</v>
          </cell>
          <cell r="H301">
            <v>102.2</v>
          </cell>
          <cell r="I301">
            <v>40</v>
          </cell>
          <cell r="J301">
            <v>4088</v>
          </cell>
          <cell r="K301" t="str">
            <v>61091000</v>
          </cell>
          <cell r="L301" t="str">
            <v>6109.10.00.00.00</v>
          </cell>
        </row>
        <row r="302">
          <cell r="B302" t="str">
            <v>AWJYTE1055</v>
          </cell>
          <cell r="C302" t="str">
            <v>AMIRI CITY TEE</v>
          </cell>
          <cell r="E302" t="str">
            <v>100% COTTON</v>
          </cell>
          <cell r="F302" t="str">
            <v>IT</v>
          </cell>
          <cell r="H302">
            <v>113.4</v>
          </cell>
          <cell r="I302">
            <v>9</v>
          </cell>
          <cell r="J302">
            <v>1020.6</v>
          </cell>
          <cell r="K302" t="str">
            <v>61091000</v>
          </cell>
          <cell r="L302" t="str">
            <v>6109.10.00.00.00</v>
          </cell>
        </row>
        <row r="303">
          <cell r="B303" t="str">
            <v>AMJYTE1135</v>
          </cell>
          <cell r="C303" t="str">
            <v>AMIRI POOL CUE TEE</v>
          </cell>
          <cell r="E303" t="str">
            <v>100% COTTON</v>
          </cell>
          <cell r="F303" t="str">
            <v>IT</v>
          </cell>
          <cell r="H303">
            <v>130.9</v>
          </cell>
          <cell r="I303">
            <v>9</v>
          </cell>
          <cell r="J303">
            <v>1178.1000000000001</v>
          </cell>
          <cell r="K303" t="str">
            <v>61091000</v>
          </cell>
          <cell r="L303" t="str">
            <v>6109.10.00.00.00</v>
          </cell>
        </row>
        <row r="304">
          <cell r="B304" t="str">
            <v>W3888R</v>
          </cell>
          <cell r="C304" t="str">
            <v>Women's Cover Ups</v>
          </cell>
          <cell r="D304" t="str">
            <v>Black</v>
          </cell>
          <cell r="E304" t="str">
            <v>100%CASHMERE&gt;EXCLUSIVE OF TRIMMING</v>
          </cell>
          <cell r="F304" t="str">
            <v>CN</v>
          </cell>
          <cell r="H304">
            <v>64.209999999999994</v>
          </cell>
          <cell r="I304">
            <v>15</v>
          </cell>
          <cell r="J304">
            <v>963.15</v>
          </cell>
          <cell r="K304" t="str">
            <v>6110.12.1020</v>
          </cell>
          <cell r="L304" t="str">
            <v>6110.12.90.00.00</v>
          </cell>
        </row>
        <row r="305">
          <cell r="B305" t="str">
            <v>W3741R</v>
          </cell>
          <cell r="C305" t="str">
            <v>Women's Cover Ups</v>
          </cell>
          <cell r="D305" t="str">
            <v>Black</v>
          </cell>
          <cell r="E305" t="str">
            <v>BODY: 100%CASHMERE&gt; CONTRA...</v>
          </cell>
          <cell r="F305" t="str">
            <v>VN</v>
          </cell>
          <cell r="H305">
            <v>73.05</v>
          </cell>
          <cell r="I305">
            <v>9</v>
          </cell>
          <cell r="J305">
            <v>657.45</v>
          </cell>
          <cell r="K305" t="str">
            <v>6110.12.1020</v>
          </cell>
          <cell r="L305" t="str">
            <v>6110.12.90.00.00</v>
          </cell>
        </row>
        <row r="306">
          <cell r="B306" t="str">
            <v>W3742R</v>
          </cell>
          <cell r="C306" t="str">
            <v>Women's Cover Ups</v>
          </cell>
          <cell r="D306" t="str">
            <v>Black</v>
          </cell>
          <cell r="E306" t="str">
            <v>100%CASHMERE&gt;EXCLUSIVE OF TRIMMING</v>
          </cell>
          <cell r="F306" t="str">
            <v>CN</v>
          </cell>
          <cell r="H306">
            <v>44.74</v>
          </cell>
          <cell r="I306">
            <v>9</v>
          </cell>
          <cell r="J306">
            <v>402.66</v>
          </cell>
          <cell r="K306" t="str">
            <v>6110.12.1020</v>
          </cell>
          <cell r="L306" t="str">
            <v>6110.12.90.00.00</v>
          </cell>
        </row>
        <row r="307">
          <cell r="B307" t="str">
            <v>W3742R</v>
          </cell>
          <cell r="C307" t="str">
            <v>Women's Cover Ups</v>
          </cell>
          <cell r="D307" t="str">
            <v>Espresso</v>
          </cell>
          <cell r="E307" t="str">
            <v>100%CASHMERE&gt;EXCLUSIVE OF TRIMMING</v>
          </cell>
          <cell r="F307" t="str">
            <v>CN</v>
          </cell>
          <cell r="H307">
            <v>44.74</v>
          </cell>
          <cell r="I307">
            <v>9</v>
          </cell>
          <cell r="J307">
            <v>402.66</v>
          </cell>
          <cell r="K307" t="str">
            <v>6110.12.1020</v>
          </cell>
          <cell r="L307" t="str">
            <v>6110.12.90.00.00</v>
          </cell>
        </row>
        <row r="308">
          <cell r="B308" t="str">
            <v>M3246R</v>
          </cell>
          <cell r="C308" t="str">
            <v>Men's Cover Ups</v>
          </cell>
          <cell r="D308" t="str">
            <v>Black</v>
          </cell>
          <cell r="E308" t="str">
            <v>100%COTTON&gt;EXCLUSIVE OF TRIMMING</v>
          </cell>
          <cell r="F308" t="str">
            <v>CN</v>
          </cell>
          <cell r="H308">
            <v>34.700000000000003</v>
          </cell>
          <cell r="I308">
            <v>9</v>
          </cell>
          <cell r="J308">
            <v>312.3</v>
          </cell>
          <cell r="K308" t="str">
            <v>6110.20.2010</v>
          </cell>
          <cell r="L308" t="str">
            <v>6110.20.91.00.00</v>
          </cell>
        </row>
        <row r="309">
          <cell r="B309" t="str">
            <v>U3031RG</v>
          </cell>
          <cell r="C309" t="str">
            <v>Unisex Cover Ups</v>
          </cell>
          <cell r="D309" t="str">
            <v>Toasted Almond</v>
          </cell>
          <cell r="E309" t="str">
            <v>BODY: 65%COTTON 35%POLYESTE...</v>
          </cell>
          <cell r="F309" t="str">
            <v>VN</v>
          </cell>
          <cell r="H309">
            <v>13.67</v>
          </cell>
          <cell r="I309">
            <v>30</v>
          </cell>
          <cell r="J309">
            <v>410.1</v>
          </cell>
          <cell r="K309" t="str">
            <v>6110.20.2020</v>
          </cell>
          <cell r="L309" t="str">
            <v>6110.20.99.00.00</v>
          </cell>
        </row>
        <row r="310">
          <cell r="B310" t="str">
            <v>U3031RG</v>
          </cell>
          <cell r="C310" t="str">
            <v>Unisex Cover Ups</v>
          </cell>
          <cell r="D310" t="str">
            <v>Eclipse Blue</v>
          </cell>
          <cell r="E310" t="str">
            <v>BODY: 65%COTTON 35%POLYESTE...</v>
          </cell>
          <cell r="F310" t="str">
            <v>VN</v>
          </cell>
          <cell r="H310">
            <v>13.67</v>
          </cell>
          <cell r="I310">
            <v>24</v>
          </cell>
          <cell r="J310">
            <v>328.08</v>
          </cell>
          <cell r="K310" t="str">
            <v>6110.20.2020</v>
          </cell>
          <cell r="L310" t="str">
            <v>6110.20.99.00.00</v>
          </cell>
        </row>
        <row r="311">
          <cell r="B311" t="str">
            <v>U3032RG</v>
          </cell>
          <cell r="C311" t="str">
            <v>Unisex Cover Ups</v>
          </cell>
          <cell r="D311" t="str">
            <v>Eclipse Blue</v>
          </cell>
          <cell r="E311" t="str">
            <v>BODY: 65%COTTON 35%POLYESTE...</v>
          </cell>
          <cell r="F311" t="str">
            <v>VN</v>
          </cell>
          <cell r="H311">
            <v>17.739999999999998</v>
          </cell>
          <cell r="I311">
            <v>18</v>
          </cell>
          <cell r="J311">
            <v>319.32</v>
          </cell>
          <cell r="K311" t="str">
            <v>6110.20.2020</v>
          </cell>
          <cell r="L311" t="str">
            <v>6110.20.99.00.00</v>
          </cell>
        </row>
        <row r="312">
          <cell r="B312" t="str">
            <v>U3039R</v>
          </cell>
          <cell r="C312" t="str">
            <v>Unisex Cover Ups</v>
          </cell>
          <cell r="D312" t="str">
            <v>Ivory/Bone/Gravel</v>
          </cell>
          <cell r="E312" t="str">
            <v>BODY: 65%COTTON 35%POLYESTE...</v>
          </cell>
          <cell r="F312" t="str">
            <v>VN</v>
          </cell>
          <cell r="H312">
            <v>20.85</v>
          </cell>
          <cell r="I312">
            <v>14</v>
          </cell>
          <cell r="J312">
            <v>291.89999999999998</v>
          </cell>
          <cell r="K312" t="str">
            <v>6110.20.2020</v>
          </cell>
          <cell r="L312" t="str">
            <v>6110.20.99.00.00</v>
          </cell>
        </row>
        <row r="313">
          <cell r="B313" t="str">
            <v>U3039R</v>
          </cell>
          <cell r="C313" t="str">
            <v>Unisex Cover Ups</v>
          </cell>
          <cell r="D313" t="str">
            <v>Italian Plum Tonal</v>
          </cell>
          <cell r="E313" t="str">
            <v>BODY: 65%COTTON 35%POLYESTE...</v>
          </cell>
          <cell r="F313" t="str">
            <v>VN</v>
          </cell>
          <cell r="H313">
            <v>21.13</v>
          </cell>
          <cell r="I313">
            <v>10</v>
          </cell>
          <cell r="J313">
            <v>211.3</v>
          </cell>
          <cell r="K313" t="str">
            <v>6110.20.2020</v>
          </cell>
          <cell r="L313" t="str">
            <v>6110.20.99.00.00</v>
          </cell>
        </row>
        <row r="314">
          <cell r="B314" t="str">
            <v>W3845R</v>
          </cell>
          <cell r="C314" t="str">
            <v>Women's Cover Ups</v>
          </cell>
          <cell r="D314" t="str">
            <v>Black</v>
          </cell>
          <cell r="E314" t="str">
            <v>BODY: 65%COTTON 35%POLYESTE...</v>
          </cell>
          <cell r="F314" t="str">
            <v>VN</v>
          </cell>
          <cell r="H314">
            <v>17.600000000000001</v>
          </cell>
          <cell r="I314">
            <v>16</v>
          </cell>
          <cell r="J314">
            <v>281.60000000000002</v>
          </cell>
          <cell r="K314" t="str">
            <v>6110.20.2020</v>
          </cell>
          <cell r="L314" t="str">
            <v>6110.20.99.00.00</v>
          </cell>
        </row>
        <row r="315">
          <cell r="B315" t="str">
            <v>W3845R</v>
          </cell>
          <cell r="C315" t="str">
            <v>Women's Cover Ups</v>
          </cell>
          <cell r="D315" t="str">
            <v>Athletic Heather Grey</v>
          </cell>
          <cell r="E315" t="str">
            <v>BODY: 65%COTTON 35%POLYESTE...</v>
          </cell>
          <cell r="F315" t="str">
            <v>VN</v>
          </cell>
          <cell r="H315">
            <v>17.600000000000001</v>
          </cell>
          <cell r="I315">
            <v>12</v>
          </cell>
          <cell r="J315">
            <v>211.2</v>
          </cell>
          <cell r="K315" t="str">
            <v>6110.20.2020</v>
          </cell>
          <cell r="L315" t="str">
            <v>6110.20.99.00.00</v>
          </cell>
        </row>
        <row r="316">
          <cell r="B316" t="str">
            <v>W3845R</v>
          </cell>
          <cell r="C316" t="str">
            <v>Women's Cover Ups</v>
          </cell>
          <cell r="D316" t="str">
            <v>Ivory</v>
          </cell>
          <cell r="E316" t="str">
            <v>BODY: 65%COTTON 35%POLYESTE...</v>
          </cell>
          <cell r="F316" t="str">
            <v>VN</v>
          </cell>
          <cell r="H316">
            <v>17.600000000000001</v>
          </cell>
          <cell r="I316">
            <v>12</v>
          </cell>
          <cell r="J316">
            <v>211.2</v>
          </cell>
          <cell r="K316" t="str">
            <v>6110.20.2020</v>
          </cell>
          <cell r="L316" t="str">
            <v>6110.20.99.00.00</v>
          </cell>
        </row>
        <row r="317">
          <cell r="B317" t="str">
            <v>W3845R</v>
          </cell>
          <cell r="C317" t="str">
            <v>Women's Cover Ups</v>
          </cell>
          <cell r="D317" t="str">
            <v>Toasted Almond</v>
          </cell>
          <cell r="E317" t="str">
            <v>BODY: 65%COTTON 35%POLYESTE...</v>
          </cell>
          <cell r="F317" t="str">
            <v>VN</v>
          </cell>
          <cell r="H317">
            <v>17.670000000000002</v>
          </cell>
          <cell r="I317">
            <v>12</v>
          </cell>
          <cell r="J317">
            <v>212.04</v>
          </cell>
          <cell r="K317" t="str">
            <v>6110.20.2020</v>
          </cell>
          <cell r="L317" t="str">
            <v>6110.20.99.00.00</v>
          </cell>
        </row>
        <row r="318">
          <cell r="B318" t="str">
            <v>W3847R</v>
          </cell>
          <cell r="C318" t="str">
            <v>Women's Cover Ups</v>
          </cell>
          <cell r="D318" t="str">
            <v>Black/Ivory</v>
          </cell>
          <cell r="E318" t="str">
            <v>100%COTTON&gt;EXCLUSIVE OF TRIMMING</v>
          </cell>
          <cell r="F318" t="str">
            <v>VN</v>
          </cell>
          <cell r="H318">
            <v>23.55</v>
          </cell>
          <cell r="I318">
            <v>9</v>
          </cell>
          <cell r="J318">
            <v>211.95</v>
          </cell>
          <cell r="K318" t="str">
            <v>6110.20.2020</v>
          </cell>
          <cell r="L318" t="str">
            <v>6110.20.99.00.00</v>
          </cell>
        </row>
        <row r="319">
          <cell r="B319" t="str">
            <v>U3031RG</v>
          </cell>
          <cell r="C319" t="str">
            <v>Unisex Cover Ups</v>
          </cell>
          <cell r="D319" t="str">
            <v>Oatmeal Heather</v>
          </cell>
          <cell r="E319" t="str">
            <v>BODY: 65%COTTON 35%POLYESTE...</v>
          </cell>
          <cell r="F319" t="str">
            <v>NI</v>
          </cell>
          <cell r="H319">
            <v>15.28</v>
          </cell>
          <cell r="I319">
            <v>11</v>
          </cell>
          <cell r="J319">
            <v>168.08</v>
          </cell>
          <cell r="K319" t="str">
            <v>6110.20.2020</v>
          </cell>
          <cell r="L319" t="str">
            <v>6110.20.99.00.00</v>
          </cell>
        </row>
        <row r="320">
          <cell r="B320" t="str">
            <v>U3031RG</v>
          </cell>
          <cell r="C320" t="str">
            <v>Unisex Cover Ups</v>
          </cell>
          <cell r="D320" t="str">
            <v>Black</v>
          </cell>
          <cell r="E320" t="str">
            <v>BODY: 65%COTTON 35%POLYESTE...</v>
          </cell>
          <cell r="F320" t="str">
            <v>NI</v>
          </cell>
          <cell r="H320">
            <v>15.28</v>
          </cell>
          <cell r="I320">
            <v>198</v>
          </cell>
          <cell r="J320">
            <v>3025.44</v>
          </cell>
          <cell r="K320" t="str">
            <v>6110.20.2020</v>
          </cell>
          <cell r="L320" t="str">
            <v>6110.20.99.00.00</v>
          </cell>
        </row>
        <row r="321">
          <cell r="B321" t="str">
            <v>U3039R</v>
          </cell>
          <cell r="C321" t="str">
            <v>Unisex Cover Ups</v>
          </cell>
          <cell r="D321" t="str">
            <v>Athletic Heather Grey Tonal</v>
          </cell>
          <cell r="E321" t="str">
            <v>BODY: 65%COTTON 35%POLYESTE...</v>
          </cell>
          <cell r="F321" t="str">
            <v>US</v>
          </cell>
          <cell r="H321">
            <v>27.09</v>
          </cell>
          <cell r="I321">
            <v>10</v>
          </cell>
          <cell r="J321">
            <v>270.89999999999998</v>
          </cell>
          <cell r="K321" t="str">
            <v>6110.20.2020</v>
          </cell>
          <cell r="L321" t="str">
            <v>6110.20.99.00.00</v>
          </cell>
        </row>
        <row r="322">
          <cell r="B322" t="str">
            <v>U3039R</v>
          </cell>
          <cell r="C322" t="str">
            <v>Unisex Cover Ups</v>
          </cell>
          <cell r="D322" t="str">
            <v>Athletic Heather Grey Tonal</v>
          </cell>
          <cell r="E322" t="str">
            <v>BODY: 65%COTTON 35%POLYESTE...</v>
          </cell>
          <cell r="F322" t="str">
            <v>VN</v>
          </cell>
          <cell r="H322">
            <v>27.09</v>
          </cell>
          <cell r="I322">
            <v>11</v>
          </cell>
          <cell r="J322">
            <v>297.99</v>
          </cell>
          <cell r="K322" t="str">
            <v>6110.20.2020</v>
          </cell>
          <cell r="L322" t="str">
            <v>6110.20.99.00.00</v>
          </cell>
        </row>
        <row r="323">
          <cell r="B323" t="str">
            <v>M3181R</v>
          </cell>
          <cell r="C323" t="str">
            <v>Men's Long Sleeve Tops</v>
          </cell>
          <cell r="D323" t="str">
            <v>Espresso</v>
          </cell>
          <cell r="E323" t="str">
            <v>94%POLYESTER 6%ELASTANE</v>
          </cell>
          <cell r="F323" t="str">
            <v>VN</v>
          </cell>
          <cell r="H323">
            <v>8.7899999999999991</v>
          </cell>
          <cell r="I323">
            <v>16</v>
          </cell>
          <cell r="J323">
            <v>140.63999999999999</v>
          </cell>
          <cell r="K323" t="str">
            <v>6110.20.2069</v>
          </cell>
          <cell r="L323" t="str">
            <v>6110.20.91.00.00</v>
          </cell>
        </row>
        <row r="324">
          <cell r="B324" t="str">
            <v>M3207R</v>
          </cell>
          <cell r="C324" t="str">
            <v>Men's Cover Ups</v>
          </cell>
          <cell r="D324" t="str">
            <v>Black</v>
          </cell>
          <cell r="E324" t="str">
            <v>BODY: 35%POLYESTER 65%COTTO...</v>
          </cell>
          <cell r="F324" t="str">
            <v>VN</v>
          </cell>
          <cell r="H324">
            <v>13.99</v>
          </cell>
          <cell r="I324">
            <v>20</v>
          </cell>
          <cell r="J324">
            <v>279.8</v>
          </cell>
          <cell r="K324" t="str">
            <v>6110.20.2069</v>
          </cell>
          <cell r="L324" t="str">
            <v>6110.20.91.00.00</v>
          </cell>
        </row>
        <row r="325">
          <cell r="B325" t="str">
            <v>M3207R</v>
          </cell>
          <cell r="C325" t="str">
            <v>Men's Cover Ups</v>
          </cell>
          <cell r="D325" t="str">
            <v>Athletic Heather Grey</v>
          </cell>
          <cell r="E325" t="str">
            <v>BODY: 65%COTTON 35%POLYESTE...</v>
          </cell>
          <cell r="F325" t="str">
            <v>VN</v>
          </cell>
          <cell r="H325">
            <v>13.99</v>
          </cell>
          <cell r="I325">
            <v>20</v>
          </cell>
          <cell r="J325">
            <v>279.8</v>
          </cell>
          <cell r="K325" t="str">
            <v>6110.20.2069</v>
          </cell>
          <cell r="L325" t="str">
            <v>6110.20.91.00.00</v>
          </cell>
        </row>
        <row r="326">
          <cell r="B326" t="str">
            <v>U3040RG</v>
          </cell>
          <cell r="C326" t="str">
            <v>Unisex Cover Ups</v>
          </cell>
          <cell r="D326" t="str">
            <v>Black</v>
          </cell>
          <cell r="E326" t="str">
            <v>BODY: 65%COTTON 35%POLYESTE...</v>
          </cell>
          <cell r="F326" t="str">
            <v>VN</v>
          </cell>
          <cell r="H326">
            <v>15.58</v>
          </cell>
          <cell r="I326">
            <v>29</v>
          </cell>
          <cell r="J326">
            <v>451.82</v>
          </cell>
          <cell r="K326" t="str">
            <v>6110.20.2069</v>
          </cell>
          <cell r="L326" t="str">
            <v>6110.20.91.00.00</v>
          </cell>
        </row>
        <row r="327">
          <cell r="B327" t="str">
            <v>M3181R</v>
          </cell>
          <cell r="C327" t="str">
            <v>Men's Long Sleeve Tops</v>
          </cell>
          <cell r="D327" t="str">
            <v>Stealth Green</v>
          </cell>
          <cell r="E327" t="str">
            <v>94%POLYESTER 6%ELASTANE</v>
          </cell>
          <cell r="F327" t="str">
            <v>NI</v>
          </cell>
          <cell r="H327">
            <v>11.43</v>
          </cell>
          <cell r="I327">
            <v>16</v>
          </cell>
          <cell r="J327">
            <v>182.88</v>
          </cell>
          <cell r="K327" t="str">
            <v>6110.20.2069</v>
          </cell>
          <cell r="L327" t="str">
            <v>6110.20.91.00.00</v>
          </cell>
        </row>
        <row r="328">
          <cell r="B328" t="str">
            <v>W4601R</v>
          </cell>
          <cell r="C328" t="str">
            <v>Women's Cover Ups</v>
          </cell>
          <cell r="D328" t="str">
            <v>Black</v>
          </cell>
          <cell r="E328" t="str">
            <v>90%COTTON 9%NYLON 1%ELASTA...</v>
          </cell>
          <cell r="F328" t="str">
            <v>CN</v>
          </cell>
          <cell r="H328">
            <v>24.34</v>
          </cell>
          <cell r="I328">
            <v>16</v>
          </cell>
          <cell r="J328">
            <v>389.44</v>
          </cell>
          <cell r="K328" t="str">
            <v>6110.20.2079</v>
          </cell>
          <cell r="L328" t="str">
            <v>6110.20.99.00.00</v>
          </cell>
        </row>
        <row r="329">
          <cell r="B329" t="str">
            <v>W4601R</v>
          </cell>
          <cell r="C329" t="str">
            <v>Women's Cover Ups</v>
          </cell>
          <cell r="D329" t="str">
            <v>Ivory</v>
          </cell>
          <cell r="E329" t="str">
            <v>90%COTTON 9%NYLON 1%ELASTA...</v>
          </cell>
          <cell r="F329" t="str">
            <v>CN</v>
          </cell>
          <cell r="H329">
            <v>24.34</v>
          </cell>
          <cell r="I329">
            <v>12</v>
          </cell>
          <cell r="J329">
            <v>292.08</v>
          </cell>
          <cell r="K329" t="str">
            <v>6110.20.2079</v>
          </cell>
          <cell r="L329" t="str">
            <v>6110.20.99.00.00</v>
          </cell>
        </row>
        <row r="330">
          <cell r="B330" t="str">
            <v>W4601R</v>
          </cell>
          <cell r="C330" t="str">
            <v>Women's Cover Ups</v>
          </cell>
          <cell r="D330" t="str">
            <v>Espresso</v>
          </cell>
          <cell r="E330" t="str">
            <v>90%COTTON 9%NYLON 1%ELASTA...</v>
          </cell>
          <cell r="F330" t="str">
            <v>CN</v>
          </cell>
          <cell r="H330">
            <v>24.34</v>
          </cell>
          <cell r="I330">
            <v>15</v>
          </cell>
          <cell r="J330">
            <v>365.1</v>
          </cell>
          <cell r="K330" t="str">
            <v>6110.20.2079</v>
          </cell>
          <cell r="L330" t="str">
            <v>6110.20.99.00.00</v>
          </cell>
        </row>
        <row r="331">
          <cell r="B331" t="str">
            <v>M3254R</v>
          </cell>
          <cell r="C331" t="str">
            <v>Men's Cover Ups</v>
          </cell>
          <cell r="D331" t="str">
            <v>Steel Grey Wash</v>
          </cell>
          <cell r="E331" t="str">
            <v>65%COTTON 35%POLYESTER&gt;EXC...</v>
          </cell>
          <cell r="F331" t="str">
            <v>VN</v>
          </cell>
          <cell r="H331">
            <v>22.84</v>
          </cell>
          <cell r="I331">
            <v>11</v>
          </cell>
          <cell r="J331">
            <v>251.24</v>
          </cell>
          <cell r="K331" t="str">
            <v>6110.20.2079</v>
          </cell>
          <cell r="L331" t="str">
            <v>6110.20.99.00.00</v>
          </cell>
        </row>
        <row r="332">
          <cell r="B332" t="str">
            <v>U3031RG</v>
          </cell>
          <cell r="C332" t="str">
            <v>Unisex Cover Ups</v>
          </cell>
          <cell r="D332" t="str">
            <v>White</v>
          </cell>
          <cell r="E332" t="str">
            <v>BODY: 65%COTTON 35%POLYESTE...</v>
          </cell>
          <cell r="F332" t="str">
            <v>VN</v>
          </cell>
          <cell r="H332">
            <v>12.77</v>
          </cell>
          <cell r="I332">
            <v>24</v>
          </cell>
          <cell r="J332">
            <v>306.48</v>
          </cell>
          <cell r="K332" t="str">
            <v>6110.20.2079</v>
          </cell>
          <cell r="L332" t="str">
            <v>6110.20.99.00.00</v>
          </cell>
        </row>
        <row r="333">
          <cell r="B333" t="str">
            <v>U3031RG</v>
          </cell>
          <cell r="C333" t="str">
            <v>Unisex Cover Ups</v>
          </cell>
          <cell r="D333" t="str">
            <v>Black</v>
          </cell>
          <cell r="E333" t="str">
            <v>BODY: 65%COTTON 35%POLYESTE...</v>
          </cell>
          <cell r="F333" t="str">
            <v>VN</v>
          </cell>
          <cell r="H333">
            <v>12.77</v>
          </cell>
          <cell r="I333">
            <v>39</v>
          </cell>
          <cell r="J333">
            <v>498.03</v>
          </cell>
          <cell r="K333" t="str">
            <v>6110.20.2079</v>
          </cell>
          <cell r="L333" t="str">
            <v>6110.20.99.00.00</v>
          </cell>
        </row>
        <row r="334">
          <cell r="B334" t="str">
            <v>U3031RG</v>
          </cell>
          <cell r="C334" t="str">
            <v>Unisex Cover Ups</v>
          </cell>
          <cell r="D334" t="str">
            <v>Athletic Heather Grey</v>
          </cell>
          <cell r="E334" t="str">
            <v>BODY: 65%COTTON 35%POLYESTE...</v>
          </cell>
          <cell r="F334" t="str">
            <v>VN</v>
          </cell>
          <cell r="H334">
            <v>12.77</v>
          </cell>
          <cell r="I334">
            <v>30</v>
          </cell>
          <cell r="J334">
            <v>383.1</v>
          </cell>
          <cell r="K334" t="str">
            <v>6110.20.2079</v>
          </cell>
          <cell r="L334" t="str">
            <v>6110.20.99.00.00</v>
          </cell>
        </row>
        <row r="335">
          <cell r="B335" t="str">
            <v>U3031RG</v>
          </cell>
          <cell r="C335" t="str">
            <v>Unisex Cover Ups</v>
          </cell>
          <cell r="D335" t="str">
            <v>Gravel</v>
          </cell>
          <cell r="E335" t="str">
            <v>BODY: 65%COTTON 35%POLYESTE...</v>
          </cell>
          <cell r="F335" t="str">
            <v>VN</v>
          </cell>
          <cell r="H335">
            <v>12.77</v>
          </cell>
          <cell r="I335">
            <v>21</v>
          </cell>
          <cell r="J335">
            <v>268.17</v>
          </cell>
          <cell r="K335" t="str">
            <v>6110.20.2079</v>
          </cell>
          <cell r="L335" t="str">
            <v>6110.20.99.00.00</v>
          </cell>
        </row>
        <row r="336">
          <cell r="B336" t="str">
            <v>U3032RG</v>
          </cell>
          <cell r="C336" t="str">
            <v>Unisex Cover Ups</v>
          </cell>
          <cell r="D336" t="str">
            <v>White</v>
          </cell>
          <cell r="E336" t="str">
            <v>BODY: 65%COTTON 35%POLYESTE...</v>
          </cell>
          <cell r="F336" t="str">
            <v>VN</v>
          </cell>
          <cell r="H336">
            <v>16.64</v>
          </cell>
          <cell r="I336">
            <v>30</v>
          </cell>
          <cell r="J336">
            <v>499.2</v>
          </cell>
          <cell r="K336" t="str">
            <v>6110.20.2079</v>
          </cell>
          <cell r="L336" t="str">
            <v>6110.20.99.00.00</v>
          </cell>
        </row>
        <row r="337">
          <cell r="B337" t="str">
            <v>U3032RG</v>
          </cell>
          <cell r="C337" t="str">
            <v>Unisex Cover Ups</v>
          </cell>
          <cell r="D337" t="str">
            <v>Black</v>
          </cell>
          <cell r="E337" t="str">
            <v>BODY: 65%COTTON 35%POLYESTE...</v>
          </cell>
          <cell r="F337" t="str">
            <v>VN</v>
          </cell>
          <cell r="H337">
            <v>16.64</v>
          </cell>
          <cell r="I337">
            <v>55</v>
          </cell>
          <cell r="J337">
            <v>915.2</v>
          </cell>
          <cell r="K337" t="str">
            <v>6110.20.2079</v>
          </cell>
          <cell r="L337" t="str">
            <v>6110.20.99.00.00</v>
          </cell>
        </row>
        <row r="338">
          <cell r="B338" t="str">
            <v>U3032RG</v>
          </cell>
          <cell r="C338" t="str">
            <v>Unisex Cover Ups</v>
          </cell>
          <cell r="D338" t="str">
            <v>Athletic Heather Grey</v>
          </cell>
          <cell r="E338" t="str">
            <v>BODY: 65%COTTON 35%POLYESTE...</v>
          </cell>
          <cell r="F338" t="str">
            <v>VN</v>
          </cell>
          <cell r="H338">
            <v>16.64</v>
          </cell>
          <cell r="I338">
            <v>45</v>
          </cell>
          <cell r="J338">
            <v>748.8</v>
          </cell>
          <cell r="K338" t="str">
            <v>6110.20.2079</v>
          </cell>
          <cell r="L338" t="str">
            <v>6110.20.99.00.00</v>
          </cell>
        </row>
        <row r="339">
          <cell r="B339" t="str">
            <v>U3032RG</v>
          </cell>
          <cell r="C339" t="str">
            <v>Unisex Cover Ups</v>
          </cell>
          <cell r="D339" t="str">
            <v>Navy</v>
          </cell>
          <cell r="E339" t="str">
            <v>BODY: 65%COTTON 35%POLYESTE...</v>
          </cell>
          <cell r="F339" t="str">
            <v>VN</v>
          </cell>
          <cell r="H339">
            <v>16.64</v>
          </cell>
          <cell r="I339">
            <v>45</v>
          </cell>
          <cell r="J339">
            <v>748.8</v>
          </cell>
          <cell r="K339" t="str">
            <v>6110.20.2079</v>
          </cell>
          <cell r="L339" t="str">
            <v>6110.20.99.00.00</v>
          </cell>
        </row>
        <row r="340">
          <cell r="B340" t="str">
            <v>U3032RG</v>
          </cell>
          <cell r="C340" t="str">
            <v>Unisex Cover Ups</v>
          </cell>
          <cell r="D340" t="str">
            <v>Espresso</v>
          </cell>
          <cell r="E340" t="str">
            <v>BODY: 65%COTTON 35%POLYESTE...</v>
          </cell>
          <cell r="F340" t="str">
            <v>VN</v>
          </cell>
          <cell r="H340">
            <v>16.64</v>
          </cell>
          <cell r="I340">
            <v>30</v>
          </cell>
          <cell r="J340">
            <v>499.2</v>
          </cell>
          <cell r="K340" t="str">
            <v>6110.20.2079</v>
          </cell>
          <cell r="L340" t="str">
            <v>6110.20.99.00.00</v>
          </cell>
        </row>
        <row r="341">
          <cell r="B341" t="str">
            <v>U3032RG</v>
          </cell>
          <cell r="C341" t="str">
            <v>Unisex Cover Ups</v>
          </cell>
          <cell r="D341" t="str">
            <v>Steel Grey</v>
          </cell>
          <cell r="E341" t="str">
            <v>BODY: 65%COTTON 35%POLYESTE...</v>
          </cell>
          <cell r="F341" t="str">
            <v>VN</v>
          </cell>
          <cell r="H341">
            <v>16.64</v>
          </cell>
          <cell r="I341">
            <v>30</v>
          </cell>
          <cell r="J341">
            <v>499.2</v>
          </cell>
          <cell r="K341" t="str">
            <v>6110.20.2079</v>
          </cell>
          <cell r="L341" t="str">
            <v>6110.20.99.00.00</v>
          </cell>
        </row>
        <row r="342">
          <cell r="B342" t="str">
            <v>U4011R</v>
          </cell>
          <cell r="C342" t="str">
            <v>Unisex Cover Ups</v>
          </cell>
          <cell r="D342" t="str">
            <v>Black</v>
          </cell>
          <cell r="E342" t="str">
            <v>78%COTTON 22%POLYESTER &gt;EX...</v>
          </cell>
          <cell r="F342" t="str">
            <v>VN</v>
          </cell>
          <cell r="H342">
            <v>25.47</v>
          </cell>
          <cell r="I342">
            <v>18</v>
          </cell>
          <cell r="J342">
            <v>458.46</v>
          </cell>
          <cell r="K342" t="str">
            <v>6110.20.2079</v>
          </cell>
          <cell r="L342" t="str">
            <v>6110.20.99.00.00</v>
          </cell>
        </row>
        <row r="343">
          <cell r="B343" t="str">
            <v>U4011R</v>
          </cell>
          <cell r="C343" t="str">
            <v>Unisex Cover Ups</v>
          </cell>
          <cell r="D343" t="str">
            <v>Athletic Heather Grey</v>
          </cell>
          <cell r="E343" t="str">
            <v>78%COTTON 22%POLYESTER &gt;EX...</v>
          </cell>
          <cell r="F343" t="str">
            <v>VN</v>
          </cell>
          <cell r="H343">
            <v>25.47</v>
          </cell>
          <cell r="I343">
            <v>15</v>
          </cell>
          <cell r="J343">
            <v>382.05</v>
          </cell>
          <cell r="K343" t="str">
            <v>6110.20.2079</v>
          </cell>
          <cell r="L343" t="str">
            <v>6110.20.99.00.00</v>
          </cell>
        </row>
        <row r="344">
          <cell r="B344" t="str">
            <v>W3814R</v>
          </cell>
          <cell r="C344" t="str">
            <v>Women's Cover Ups</v>
          </cell>
          <cell r="D344" t="str">
            <v>Black</v>
          </cell>
          <cell r="E344" t="str">
            <v>SHELL &amp; HOOD LINING: 65%COTTO...</v>
          </cell>
          <cell r="F344" t="str">
            <v>VN</v>
          </cell>
          <cell r="H344">
            <v>15.33</v>
          </cell>
          <cell r="I344">
            <v>24</v>
          </cell>
          <cell r="J344">
            <v>367.92</v>
          </cell>
          <cell r="K344" t="str">
            <v>6110.20.2079</v>
          </cell>
          <cell r="L344" t="str">
            <v>6110.20.99.00.00</v>
          </cell>
        </row>
        <row r="345">
          <cell r="B345" t="str">
            <v>W3814R</v>
          </cell>
          <cell r="C345" t="str">
            <v>Women's Cover Ups</v>
          </cell>
          <cell r="D345" t="str">
            <v>Athletic Heather Grey</v>
          </cell>
          <cell r="E345" t="str">
            <v>SHELL &amp; HOOD LINING: 65%COTTO...</v>
          </cell>
          <cell r="F345" t="str">
            <v>VN</v>
          </cell>
          <cell r="H345">
            <v>15.33</v>
          </cell>
          <cell r="I345">
            <v>18</v>
          </cell>
          <cell r="J345">
            <v>275.94</v>
          </cell>
          <cell r="K345" t="str">
            <v>6110.20.2079</v>
          </cell>
          <cell r="L345" t="str">
            <v>6110.20.99.00.00</v>
          </cell>
        </row>
        <row r="346">
          <cell r="B346" t="str">
            <v>W3814R</v>
          </cell>
          <cell r="C346" t="str">
            <v>Women's Cover Ups</v>
          </cell>
          <cell r="D346" t="str">
            <v>Ivory</v>
          </cell>
          <cell r="E346" t="str">
            <v>SHELL &amp; HOOD LINING: 65%COTTO...</v>
          </cell>
          <cell r="F346" t="str">
            <v>VN</v>
          </cell>
          <cell r="H346">
            <v>15.33</v>
          </cell>
          <cell r="I346">
            <v>24</v>
          </cell>
          <cell r="J346">
            <v>367.92</v>
          </cell>
          <cell r="K346" t="str">
            <v>6110.20.2079</v>
          </cell>
          <cell r="L346" t="str">
            <v>6110.20.99.00.00</v>
          </cell>
        </row>
        <row r="347">
          <cell r="B347" t="str">
            <v>W3835R</v>
          </cell>
          <cell r="C347" t="str">
            <v>Women's Cover Ups</v>
          </cell>
          <cell r="D347" t="str">
            <v>Black</v>
          </cell>
          <cell r="E347" t="str">
            <v>BODY: 90%COTTON 9%NYLON 1%...</v>
          </cell>
          <cell r="F347" t="str">
            <v>VN</v>
          </cell>
          <cell r="H347">
            <v>31.5</v>
          </cell>
          <cell r="I347">
            <v>12</v>
          </cell>
          <cell r="J347">
            <v>378</v>
          </cell>
          <cell r="K347" t="str">
            <v>6110.20.2079</v>
          </cell>
          <cell r="L347" t="str">
            <v>6110.20.99.00.00</v>
          </cell>
        </row>
        <row r="348">
          <cell r="B348" t="str">
            <v>W3859R</v>
          </cell>
          <cell r="C348" t="str">
            <v>Women's Cover Ups</v>
          </cell>
          <cell r="D348" t="str">
            <v>Black</v>
          </cell>
          <cell r="E348" t="str">
            <v>65%COTTON 35%POLYESTER&gt;EXC...</v>
          </cell>
          <cell r="F348" t="str">
            <v>VN</v>
          </cell>
          <cell r="H348">
            <v>17.170000000000002</v>
          </cell>
          <cell r="I348">
            <v>18</v>
          </cell>
          <cell r="J348">
            <v>309.06</v>
          </cell>
          <cell r="K348" t="str">
            <v>6110.20.2079</v>
          </cell>
          <cell r="L348" t="str">
            <v>6110.20.99.00.00</v>
          </cell>
        </row>
        <row r="349">
          <cell r="B349" t="str">
            <v>W3859R</v>
          </cell>
          <cell r="C349" t="str">
            <v>Women's Cover Ups</v>
          </cell>
          <cell r="D349" t="str">
            <v>Athletic Heather Grey</v>
          </cell>
          <cell r="E349" t="str">
            <v>65%COTTON 35%POLYESTER&gt;EXC...</v>
          </cell>
          <cell r="F349" t="str">
            <v>VN</v>
          </cell>
          <cell r="H349">
            <v>17.170000000000002</v>
          </cell>
          <cell r="I349">
            <v>16</v>
          </cell>
          <cell r="J349">
            <v>274.72000000000003</v>
          </cell>
          <cell r="K349" t="str">
            <v>6110.20.2079</v>
          </cell>
          <cell r="L349" t="str">
            <v>6110.20.99.00.00</v>
          </cell>
        </row>
        <row r="350">
          <cell r="B350" t="str">
            <v>W3859R</v>
          </cell>
          <cell r="C350" t="str">
            <v>Women's Cover Ups</v>
          </cell>
          <cell r="D350" t="str">
            <v>Ivory</v>
          </cell>
          <cell r="E350" t="str">
            <v>65%COTTON 35%POLYESTER&gt;EXC...</v>
          </cell>
          <cell r="F350" t="str">
            <v>VN</v>
          </cell>
          <cell r="H350">
            <v>17.170000000000002</v>
          </cell>
          <cell r="I350">
            <v>18</v>
          </cell>
          <cell r="J350">
            <v>309.06</v>
          </cell>
          <cell r="K350" t="str">
            <v>6110.20.2079</v>
          </cell>
          <cell r="L350" t="str">
            <v>6110.20.99.00.00</v>
          </cell>
        </row>
        <row r="351">
          <cell r="B351" t="str">
            <v>W3859R</v>
          </cell>
          <cell r="C351" t="str">
            <v>Women's Cover Ups</v>
          </cell>
          <cell r="D351" t="str">
            <v>Gravel</v>
          </cell>
          <cell r="E351" t="str">
            <v>65%COTTON 35%POLYESTER&gt;EXC...</v>
          </cell>
          <cell r="F351" t="str">
            <v>VN</v>
          </cell>
          <cell r="H351">
            <v>17.170000000000002</v>
          </cell>
          <cell r="I351">
            <v>12</v>
          </cell>
          <cell r="J351">
            <v>206.04</v>
          </cell>
          <cell r="K351" t="str">
            <v>6110.20.2079</v>
          </cell>
          <cell r="L351" t="str">
            <v>6110.20.99.00.00</v>
          </cell>
        </row>
        <row r="352">
          <cell r="B352" t="str">
            <v>W4601R</v>
          </cell>
          <cell r="C352" t="str">
            <v>Women's Cover Ups</v>
          </cell>
          <cell r="D352" t="str">
            <v>Black</v>
          </cell>
          <cell r="E352" t="str">
            <v>90%COTTON 9%NYLON 1%ELASTA...</v>
          </cell>
          <cell r="F352" t="str">
            <v>VN</v>
          </cell>
          <cell r="H352">
            <v>24.34</v>
          </cell>
          <cell r="I352">
            <v>12</v>
          </cell>
          <cell r="J352">
            <v>292.08</v>
          </cell>
          <cell r="K352" t="str">
            <v>6110.20.2079</v>
          </cell>
          <cell r="L352" t="str">
            <v>6110.20.99.00.00</v>
          </cell>
        </row>
        <row r="353">
          <cell r="B353" t="str">
            <v>W4601R</v>
          </cell>
          <cell r="C353" t="str">
            <v>Women's Cover Ups</v>
          </cell>
          <cell r="D353" t="str">
            <v>Ivory</v>
          </cell>
          <cell r="E353" t="str">
            <v>90%COTTON 9%NYLON 1%ELASTA...</v>
          </cell>
          <cell r="F353" t="str">
            <v>VN</v>
          </cell>
          <cell r="H353">
            <v>24.34</v>
          </cell>
          <cell r="I353">
            <v>12</v>
          </cell>
          <cell r="J353">
            <v>292.08</v>
          </cell>
          <cell r="K353" t="str">
            <v>6110.20.2079</v>
          </cell>
          <cell r="L353" t="str">
            <v>6110.20.99.00.00</v>
          </cell>
        </row>
        <row r="354">
          <cell r="B354" t="str">
            <v>U3032RG</v>
          </cell>
          <cell r="C354" t="str">
            <v>Unisex Cover Ups</v>
          </cell>
          <cell r="D354" t="str">
            <v>Black</v>
          </cell>
          <cell r="E354" t="str">
            <v>BODY: 65%COTTON 35%POLYESTE...</v>
          </cell>
          <cell r="F354" t="str">
            <v>NI</v>
          </cell>
          <cell r="H354">
            <v>17.68</v>
          </cell>
          <cell r="I354">
            <v>198</v>
          </cell>
          <cell r="J354">
            <v>3500.64</v>
          </cell>
          <cell r="K354" t="str">
            <v>6110.20.2079</v>
          </cell>
          <cell r="L354" t="str">
            <v>6110.20.99.00.00</v>
          </cell>
        </row>
        <row r="355">
          <cell r="B355" t="str">
            <v>U3032RG</v>
          </cell>
          <cell r="C355" t="str">
            <v>Unisex Cover Ups</v>
          </cell>
          <cell r="D355" t="str">
            <v>Espresso</v>
          </cell>
          <cell r="E355" t="str">
            <v>BODY: 65%COTTON 35%POLYESTE...</v>
          </cell>
          <cell r="F355" t="str">
            <v>NI</v>
          </cell>
          <cell r="H355">
            <v>17.68</v>
          </cell>
          <cell r="I355">
            <v>79</v>
          </cell>
          <cell r="J355">
            <v>1396.72</v>
          </cell>
          <cell r="K355" t="str">
            <v>6110.20.2079</v>
          </cell>
          <cell r="L355" t="str">
            <v>6110.20.99.00.00</v>
          </cell>
        </row>
        <row r="356">
          <cell r="B356" t="str">
            <v>U3013R</v>
          </cell>
          <cell r="C356" t="str">
            <v>Unisex Cover Ups</v>
          </cell>
          <cell r="D356" t="str">
            <v>Athletic Heather Grey</v>
          </cell>
          <cell r="E356" t="str">
            <v>BODY: 78%COTTON 22%POLYESTE...</v>
          </cell>
          <cell r="F356" t="str">
            <v>CN</v>
          </cell>
          <cell r="H356">
            <v>30.16</v>
          </cell>
          <cell r="I356">
            <v>8</v>
          </cell>
          <cell r="J356">
            <v>241.28</v>
          </cell>
          <cell r="K356" t="str">
            <v>6110.20.2079</v>
          </cell>
          <cell r="L356" t="str">
            <v>6110.20.99.00.00</v>
          </cell>
        </row>
        <row r="357">
          <cell r="B357" t="str">
            <v>U3013R</v>
          </cell>
          <cell r="C357" t="str">
            <v>Unisex Cover Ups</v>
          </cell>
          <cell r="D357" t="str">
            <v>Athletic Heather Grey</v>
          </cell>
          <cell r="E357" t="str">
            <v>BODY: 78%COTTON 22%POLYESTE...</v>
          </cell>
          <cell r="F357" t="str">
            <v>US</v>
          </cell>
          <cell r="H357">
            <v>30.16</v>
          </cell>
          <cell r="I357">
            <v>20</v>
          </cell>
          <cell r="J357">
            <v>603.20000000000005</v>
          </cell>
          <cell r="K357" t="str">
            <v>6110.20.2079</v>
          </cell>
          <cell r="L357" t="str">
            <v>6110.20.99.00.00</v>
          </cell>
        </row>
        <row r="358">
          <cell r="B358" t="str">
            <v>U3013R</v>
          </cell>
          <cell r="C358" t="str">
            <v>Unisex Cover Ups</v>
          </cell>
          <cell r="D358" t="str">
            <v>Athletic Heather Grey</v>
          </cell>
          <cell r="E358" t="str">
            <v>BODY: 78%COTTON 22%POLYESTE...</v>
          </cell>
          <cell r="F358" t="str">
            <v>VN</v>
          </cell>
          <cell r="H358">
            <v>30.16</v>
          </cell>
          <cell r="I358">
            <v>4</v>
          </cell>
          <cell r="J358">
            <v>120.64</v>
          </cell>
          <cell r="K358" t="str">
            <v>6110.20.2079</v>
          </cell>
          <cell r="L358" t="str">
            <v>6110.20.99.00.00</v>
          </cell>
        </row>
        <row r="359">
          <cell r="B359" t="str">
            <v>W3849R</v>
          </cell>
          <cell r="C359" t="str">
            <v>Women's Cover Ups</v>
          </cell>
          <cell r="D359" t="str">
            <v>Black</v>
          </cell>
          <cell r="E359" t="str">
            <v>99%NYLON 1%ELASTANE&gt;EXCLUS...</v>
          </cell>
          <cell r="F359" t="str">
            <v>CN</v>
          </cell>
          <cell r="H359">
            <v>21.68</v>
          </cell>
          <cell r="I359">
            <v>9</v>
          </cell>
          <cell r="J359">
            <v>195.12</v>
          </cell>
          <cell r="K359" t="str">
            <v>6110.30.3020</v>
          </cell>
          <cell r="L359" t="str">
            <v>6110.30.99.00.00</v>
          </cell>
        </row>
        <row r="360">
          <cell r="B360" t="str">
            <v>W3849R</v>
          </cell>
          <cell r="C360" t="str">
            <v>Women's Cover Ups</v>
          </cell>
          <cell r="D360" t="str">
            <v>Ivory</v>
          </cell>
          <cell r="E360" t="str">
            <v>99%NYLON 1%ELASTANE&gt;EXCLUS...</v>
          </cell>
          <cell r="F360" t="str">
            <v>CN</v>
          </cell>
          <cell r="H360">
            <v>21.68</v>
          </cell>
          <cell r="I360">
            <v>9</v>
          </cell>
          <cell r="J360">
            <v>195.12</v>
          </cell>
          <cell r="K360" t="str">
            <v>6110.30.3020</v>
          </cell>
          <cell r="L360" t="str">
            <v>6110.30.99.00.00</v>
          </cell>
        </row>
        <row r="361">
          <cell r="B361" t="str">
            <v>W3849R</v>
          </cell>
          <cell r="C361" t="str">
            <v>Women's Cover Ups</v>
          </cell>
          <cell r="D361" t="str">
            <v>Toasted Almond</v>
          </cell>
          <cell r="E361" t="str">
            <v>99%NYLON 1%ELASTANE&gt;EXCLUS...</v>
          </cell>
          <cell r="F361" t="str">
            <v>CN</v>
          </cell>
          <cell r="H361">
            <v>21.68</v>
          </cell>
          <cell r="I361">
            <v>9</v>
          </cell>
          <cell r="J361">
            <v>195.12</v>
          </cell>
          <cell r="K361" t="str">
            <v>6110.30.3020</v>
          </cell>
          <cell r="L361" t="str">
            <v>6110.30.99.00.00</v>
          </cell>
        </row>
        <row r="362">
          <cell r="B362" t="str">
            <v>M3225R</v>
          </cell>
          <cell r="C362" t="str">
            <v>Men's Long Sleeve Tops</v>
          </cell>
          <cell r="D362" t="str">
            <v>Black</v>
          </cell>
          <cell r="E362" t="str">
            <v>47%MODAL 47%COTTON 6%ELAST...</v>
          </cell>
          <cell r="F362" t="str">
            <v>CN</v>
          </cell>
          <cell r="H362">
            <v>13.1</v>
          </cell>
          <cell r="I362">
            <v>20</v>
          </cell>
          <cell r="J362">
            <v>262</v>
          </cell>
          <cell r="K362" t="str">
            <v>6110.30.3053</v>
          </cell>
          <cell r="L362" t="str">
            <v>6110.30.91.00.00</v>
          </cell>
        </row>
        <row r="363">
          <cell r="B363" t="str">
            <v>M3225R</v>
          </cell>
          <cell r="C363" t="str">
            <v>Men's Long Sleeve Tops</v>
          </cell>
          <cell r="D363" t="str">
            <v>Athletic Heather Grey</v>
          </cell>
          <cell r="E363" t="str">
            <v>47%MODAL 47%COTTON 6%ELAST...</v>
          </cell>
          <cell r="F363" t="str">
            <v>CN</v>
          </cell>
          <cell r="H363">
            <v>13.1</v>
          </cell>
          <cell r="I363">
            <v>20</v>
          </cell>
          <cell r="J363">
            <v>262</v>
          </cell>
          <cell r="K363" t="str">
            <v>6110.30.3053</v>
          </cell>
          <cell r="L363" t="str">
            <v>6110.30.91.00.00</v>
          </cell>
        </row>
        <row r="364">
          <cell r="B364" t="str">
            <v>M3245R</v>
          </cell>
          <cell r="C364" t="str">
            <v>Men's Cover Ups</v>
          </cell>
          <cell r="D364" t="str">
            <v>Black</v>
          </cell>
          <cell r="E364" t="str">
            <v>BODY: 47%MODAL 47%COTTON 6...</v>
          </cell>
          <cell r="F364" t="str">
            <v>CN</v>
          </cell>
          <cell r="H364">
            <v>18.98</v>
          </cell>
          <cell r="I364">
            <v>20</v>
          </cell>
          <cell r="J364">
            <v>379.6</v>
          </cell>
          <cell r="K364" t="str">
            <v>6110.30.3053</v>
          </cell>
          <cell r="L364" t="str">
            <v>6110.30.91.00.00</v>
          </cell>
        </row>
        <row r="365">
          <cell r="B365" t="str">
            <v>M3245R</v>
          </cell>
          <cell r="C365" t="str">
            <v>Men's Cover Ups</v>
          </cell>
          <cell r="D365" t="str">
            <v>Espresso</v>
          </cell>
          <cell r="E365" t="str">
            <v>BODY: 47%MODAL 47%COTTON 6...</v>
          </cell>
          <cell r="F365" t="str">
            <v>CN</v>
          </cell>
          <cell r="H365">
            <v>18.98</v>
          </cell>
          <cell r="I365">
            <v>16</v>
          </cell>
          <cell r="J365">
            <v>303.68</v>
          </cell>
          <cell r="K365" t="str">
            <v>6110.30.3053</v>
          </cell>
          <cell r="L365" t="str">
            <v>6110.30.91.00.00</v>
          </cell>
        </row>
        <row r="366">
          <cell r="B366" t="str">
            <v>M3164R</v>
          </cell>
          <cell r="C366" t="str">
            <v>Men's Cover Ups</v>
          </cell>
          <cell r="D366" t="str">
            <v>Black</v>
          </cell>
          <cell r="E366" t="str">
            <v>65%TENCEL™LYOCELL 30%POLYE...</v>
          </cell>
          <cell r="F366" t="str">
            <v>VN</v>
          </cell>
          <cell r="H366">
            <v>28.58</v>
          </cell>
          <cell r="I366">
            <v>19</v>
          </cell>
          <cell r="J366">
            <v>543.02</v>
          </cell>
          <cell r="K366" t="str">
            <v>6110.30.3053</v>
          </cell>
          <cell r="L366" t="str">
            <v>6110.30.91.00.00</v>
          </cell>
        </row>
        <row r="367">
          <cell r="B367" t="str">
            <v>M3164R</v>
          </cell>
          <cell r="C367" t="str">
            <v>Men's Cover Ups</v>
          </cell>
          <cell r="D367" t="str">
            <v>Espresso</v>
          </cell>
          <cell r="E367" t="str">
            <v>65%TENCEL™LYOCELL 30%POLYE...</v>
          </cell>
          <cell r="F367" t="str">
            <v>VN</v>
          </cell>
          <cell r="H367">
            <v>28.58</v>
          </cell>
          <cell r="I367">
            <v>14</v>
          </cell>
          <cell r="J367">
            <v>400.12</v>
          </cell>
          <cell r="K367" t="str">
            <v>6110.30.3053</v>
          </cell>
          <cell r="L367" t="str">
            <v>6110.30.91.00.00</v>
          </cell>
        </row>
        <row r="368">
          <cell r="B368" t="str">
            <v>M3199R</v>
          </cell>
          <cell r="C368" t="str">
            <v>Men's Long Sleeve Tops</v>
          </cell>
          <cell r="D368" t="str">
            <v>Eclipse Blue</v>
          </cell>
          <cell r="E368" t="str">
            <v>94%POLYESTER 6%ELASTANE</v>
          </cell>
          <cell r="F368" t="str">
            <v>VN</v>
          </cell>
          <cell r="H368">
            <v>13.13</v>
          </cell>
          <cell r="I368">
            <v>19</v>
          </cell>
          <cell r="J368">
            <v>249.47</v>
          </cell>
          <cell r="K368" t="str">
            <v>6110.30.3053</v>
          </cell>
          <cell r="L368" t="str">
            <v>6110.30.91.00.00</v>
          </cell>
        </row>
        <row r="369">
          <cell r="B369" t="str">
            <v>M3245R</v>
          </cell>
          <cell r="C369" t="str">
            <v>Men's Cover Ups</v>
          </cell>
          <cell r="D369" t="str">
            <v>Bone</v>
          </cell>
          <cell r="E369" t="str">
            <v>BODY: 47%MODAL 47%COTTON 6...</v>
          </cell>
          <cell r="F369" t="str">
            <v>VN</v>
          </cell>
          <cell r="H369">
            <v>18.98</v>
          </cell>
          <cell r="I369">
            <v>16</v>
          </cell>
          <cell r="J369">
            <v>303.68</v>
          </cell>
          <cell r="K369" t="str">
            <v>6110.30.3053</v>
          </cell>
          <cell r="L369" t="str">
            <v>6110.30.91.00.00</v>
          </cell>
        </row>
        <row r="370">
          <cell r="B370" t="str">
            <v>M3245R</v>
          </cell>
          <cell r="C370" t="str">
            <v>Men's Cover Ups</v>
          </cell>
          <cell r="D370" t="str">
            <v>Italian Plum</v>
          </cell>
          <cell r="E370" t="str">
            <v>BODY: 47%MODAL 47%COTTON 6...</v>
          </cell>
          <cell r="F370" t="str">
            <v>CN</v>
          </cell>
          <cell r="H370">
            <v>18.649999999999999</v>
          </cell>
          <cell r="I370">
            <v>11</v>
          </cell>
          <cell r="J370">
            <v>205.15</v>
          </cell>
          <cell r="K370" t="str">
            <v>6110.30.3053</v>
          </cell>
          <cell r="L370" t="str">
            <v>6110.30.91.00.00</v>
          </cell>
        </row>
        <row r="371">
          <cell r="B371" t="str">
            <v>M3193R</v>
          </cell>
          <cell r="C371" t="str">
            <v>Men's Long Sleeve Tops</v>
          </cell>
          <cell r="D371" t="str">
            <v>White</v>
          </cell>
          <cell r="E371" t="str">
            <v>94%POLYESTER 6%ELASTANE</v>
          </cell>
          <cell r="F371" t="str">
            <v>VN</v>
          </cell>
          <cell r="H371">
            <v>12.57</v>
          </cell>
          <cell r="I371">
            <v>16</v>
          </cell>
          <cell r="J371">
            <v>201.12</v>
          </cell>
          <cell r="K371" t="str">
            <v>6110.30.3053</v>
          </cell>
          <cell r="L371" t="str">
            <v>6110.30.99.00.00</v>
          </cell>
        </row>
        <row r="372">
          <cell r="B372" t="str">
            <v>M3193R</v>
          </cell>
          <cell r="C372" t="str">
            <v>Men's Long Sleeve Tops</v>
          </cell>
          <cell r="D372" t="str">
            <v>Black</v>
          </cell>
          <cell r="E372" t="str">
            <v>94%POLYESTER 6%ELASTANE</v>
          </cell>
          <cell r="F372" t="str">
            <v>NI</v>
          </cell>
          <cell r="H372">
            <v>16.34</v>
          </cell>
          <cell r="I372">
            <v>16</v>
          </cell>
          <cell r="J372">
            <v>261.44</v>
          </cell>
          <cell r="K372" t="str">
            <v>6110.30.3053</v>
          </cell>
          <cell r="L372" t="str">
            <v>6110.30.91.00.00</v>
          </cell>
        </row>
        <row r="373">
          <cell r="B373" t="str">
            <v>M3193R</v>
          </cell>
          <cell r="C373" t="str">
            <v>Men's Long Sleeve Tops</v>
          </cell>
          <cell r="D373" t="str">
            <v>Dark Heather Grey</v>
          </cell>
          <cell r="E373" t="str">
            <v>94%POLYESTER 6%ELASTANE</v>
          </cell>
          <cell r="F373" t="str">
            <v>NI</v>
          </cell>
          <cell r="H373">
            <v>16.34</v>
          </cell>
          <cell r="I373">
            <v>16</v>
          </cell>
          <cell r="J373">
            <v>261.44</v>
          </cell>
          <cell r="K373" t="str">
            <v>6110.30.3053</v>
          </cell>
          <cell r="L373" t="str">
            <v>6110.30.91.00.00</v>
          </cell>
        </row>
        <row r="374">
          <cell r="B374" t="str">
            <v>M3193R</v>
          </cell>
          <cell r="C374" t="str">
            <v>Men's Long Sleeve Tops</v>
          </cell>
          <cell r="D374" t="str">
            <v>Athletic Heather Grey</v>
          </cell>
          <cell r="E374" t="str">
            <v>94%POLYESTER 6%ELASTANE</v>
          </cell>
          <cell r="F374" t="str">
            <v>NI</v>
          </cell>
          <cell r="H374">
            <v>16.34</v>
          </cell>
          <cell r="I374">
            <v>8</v>
          </cell>
          <cell r="J374">
            <v>130.72</v>
          </cell>
          <cell r="K374" t="str">
            <v>6110.30.3053</v>
          </cell>
          <cell r="L374" t="str">
            <v>6110.30.91.00.00</v>
          </cell>
        </row>
        <row r="375">
          <cell r="B375" t="str">
            <v>M3193R</v>
          </cell>
          <cell r="C375" t="str">
            <v>Men's Long Sleeve Tops</v>
          </cell>
          <cell r="D375" t="str">
            <v>Bone</v>
          </cell>
          <cell r="E375" t="str">
            <v>94%POLYESTER 6%ELASTANE</v>
          </cell>
          <cell r="F375" t="str">
            <v>VN</v>
          </cell>
          <cell r="H375">
            <v>16.34</v>
          </cell>
          <cell r="I375">
            <v>16</v>
          </cell>
          <cell r="J375">
            <v>261.44</v>
          </cell>
          <cell r="K375" t="str">
            <v>6110.30.3053</v>
          </cell>
          <cell r="L375" t="str">
            <v>6110.30.91.00.00</v>
          </cell>
        </row>
        <row r="376">
          <cell r="B376" t="str">
            <v>M3199R</v>
          </cell>
          <cell r="C376" t="str">
            <v>Men's Long Sleeve Tops</v>
          </cell>
          <cell r="D376" t="str">
            <v>Black</v>
          </cell>
          <cell r="E376" t="str">
            <v>94%POLYESTER 6%ELASTANE</v>
          </cell>
          <cell r="F376" t="str">
            <v>NI</v>
          </cell>
          <cell r="H376">
            <v>16.5</v>
          </cell>
          <cell r="I376">
            <v>13</v>
          </cell>
          <cell r="J376">
            <v>214.5</v>
          </cell>
          <cell r="K376" t="str">
            <v>6110.30.3053</v>
          </cell>
          <cell r="L376" t="str">
            <v>6110.30.91.00.00</v>
          </cell>
        </row>
        <row r="377">
          <cell r="B377" t="str">
            <v>M3242R</v>
          </cell>
          <cell r="C377" t="str">
            <v>Men's Cover Ups</v>
          </cell>
          <cell r="D377" t="str">
            <v>Grey Triblend</v>
          </cell>
          <cell r="E377" t="str">
            <v>50%POLYESTER 37%COTTON 13%...</v>
          </cell>
          <cell r="F377" t="str">
            <v>NI</v>
          </cell>
          <cell r="H377">
            <v>16.28</v>
          </cell>
          <cell r="I377">
            <v>11</v>
          </cell>
          <cell r="J377">
            <v>179.08</v>
          </cell>
          <cell r="K377" t="str">
            <v>6110.30.3053</v>
          </cell>
          <cell r="L377" t="str">
            <v>6110.30.91.00.00</v>
          </cell>
        </row>
        <row r="378">
          <cell r="B378" t="str">
            <v>M3242R</v>
          </cell>
          <cell r="C378" t="str">
            <v>Men's Cover Ups</v>
          </cell>
          <cell r="D378" t="str">
            <v>Navy</v>
          </cell>
          <cell r="E378" t="str">
            <v>50%POLYESTER 37%COTTON 13%...</v>
          </cell>
          <cell r="F378" t="str">
            <v>NI</v>
          </cell>
          <cell r="H378">
            <v>16.28</v>
          </cell>
          <cell r="I378">
            <v>11</v>
          </cell>
          <cell r="J378">
            <v>179.08</v>
          </cell>
          <cell r="K378" t="str">
            <v>6110.30.3053</v>
          </cell>
          <cell r="L378" t="str">
            <v>6110.30.91.00.00</v>
          </cell>
        </row>
        <row r="379">
          <cell r="B379" t="str">
            <v>M3193R</v>
          </cell>
          <cell r="C379" t="str">
            <v>Men's Long Sleeve Tops</v>
          </cell>
          <cell r="D379" t="str">
            <v>Black</v>
          </cell>
          <cell r="E379" t="str">
            <v>94%POLYESTER 6%ELASTANE</v>
          </cell>
          <cell r="F379" t="str">
            <v>NI</v>
          </cell>
          <cell r="H379">
            <v>16.34</v>
          </cell>
          <cell r="I379">
            <v>20</v>
          </cell>
          <cell r="J379">
            <v>326.8</v>
          </cell>
          <cell r="K379" t="str">
            <v>6110.30.3053</v>
          </cell>
          <cell r="L379" t="str">
            <v>6110.30.91.00.00</v>
          </cell>
        </row>
        <row r="380">
          <cell r="B380" t="str">
            <v>M3199R</v>
          </cell>
          <cell r="C380" t="str">
            <v>Men's Long Sleeve Tops</v>
          </cell>
          <cell r="D380" t="str">
            <v>Black</v>
          </cell>
          <cell r="E380" t="str">
            <v>94%POLYESTER 6%ELASTANE</v>
          </cell>
          <cell r="F380" t="str">
            <v>NI</v>
          </cell>
          <cell r="H380">
            <v>16.5</v>
          </cell>
          <cell r="I380">
            <v>7</v>
          </cell>
          <cell r="J380">
            <v>115.5</v>
          </cell>
          <cell r="K380" t="str">
            <v>6110.30.3053</v>
          </cell>
          <cell r="L380" t="str">
            <v>6110.30.91.00.00</v>
          </cell>
        </row>
        <row r="381">
          <cell r="B381" t="str">
            <v>M3242R</v>
          </cell>
          <cell r="C381" t="str">
            <v>Men's Cover Ups</v>
          </cell>
          <cell r="D381" t="str">
            <v>Bone</v>
          </cell>
          <cell r="E381" t="str">
            <v>50%POLYESTER 37%COTTON 13%...</v>
          </cell>
          <cell r="F381" t="str">
            <v>NI</v>
          </cell>
          <cell r="H381">
            <v>16.28</v>
          </cell>
          <cell r="I381">
            <v>19</v>
          </cell>
          <cell r="J381">
            <v>309.32</v>
          </cell>
          <cell r="K381" t="str">
            <v>6110.30.3053</v>
          </cell>
          <cell r="L381" t="str">
            <v>6110.30.91.00.00</v>
          </cell>
        </row>
        <row r="382">
          <cell r="B382" t="str">
            <v>M3243R</v>
          </cell>
          <cell r="C382" t="str">
            <v>Men's Cover Ups</v>
          </cell>
          <cell r="D382" t="str">
            <v>Black</v>
          </cell>
          <cell r="E382" t="str">
            <v>50%POLYESTER 37%COTTON 13%...</v>
          </cell>
          <cell r="F382" t="str">
            <v>NI</v>
          </cell>
          <cell r="H382">
            <v>23.02</v>
          </cell>
          <cell r="I382">
            <v>17</v>
          </cell>
          <cell r="J382">
            <v>391.34</v>
          </cell>
          <cell r="K382" t="str">
            <v>6110.30.3053</v>
          </cell>
          <cell r="L382" t="str">
            <v>6110.30.91.00.00</v>
          </cell>
        </row>
        <row r="383">
          <cell r="B383" t="str">
            <v>W3295R</v>
          </cell>
          <cell r="C383" t="str">
            <v>Women's Cover Ups</v>
          </cell>
          <cell r="D383" t="str">
            <v>Black</v>
          </cell>
          <cell r="E383" t="str">
            <v>63%POLYESTER 34%VISCOSE 3%E...</v>
          </cell>
          <cell r="F383" t="str">
            <v>CN</v>
          </cell>
          <cell r="H383">
            <v>10.63</v>
          </cell>
          <cell r="I383">
            <v>24</v>
          </cell>
          <cell r="J383">
            <v>255.12</v>
          </cell>
          <cell r="K383" t="str">
            <v>6110.30.3059</v>
          </cell>
          <cell r="L383" t="str">
            <v>6110.30.99.00.00</v>
          </cell>
        </row>
        <row r="384">
          <cell r="B384" t="str">
            <v>W3295R</v>
          </cell>
          <cell r="C384" t="str">
            <v>Women's Cover Ups</v>
          </cell>
          <cell r="D384" t="str">
            <v>Athletic Heather Grey</v>
          </cell>
          <cell r="E384" t="str">
            <v>63%POLYESTER 34%VISCOSE 3%E...</v>
          </cell>
          <cell r="F384" t="str">
            <v>CN</v>
          </cell>
          <cell r="H384">
            <v>10.63</v>
          </cell>
          <cell r="I384">
            <v>24</v>
          </cell>
          <cell r="J384">
            <v>255.12</v>
          </cell>
          <cell r="K384" t="str">
            <v>6110.30.3059</v>
          </cell>
          <cell r="L384" t="str">
            <v>6110.30.99.00.00</v>
          </cell>
        </row>
        <row r="385">
          <cell r="B385" t="str">
            <v>W3295R</v>
          </cell>
          <cell r="C385" t="str">
            <v>Women's Cover Ups</v>
          </cell>
          <cell r="D385" t="str">
            <v>Oatmeal Heather</v>
          </cell>
          <cell r="E385" t="str">
            <v>63%POLYESTER 34%RAYON 3%EL...</v>
          </cell>
          <cell r="F385" t="str">
            <v>VN</v>
          </cell>
          <cell r="H385">
            <v>10.63</v>
          </cell>
          <cell r="I385">
            <v>16</v>
          </cell>
          <cell r="J385">
            <v>170.08</v>
          </cell>
          <cell r="K385" t="str">
            <v>6110.30.3059</v>
          </cell>
          <cell r="L385" t="str">
            <v>6110.30.99.00.00</v>
          </cell>
        </row>
        <row r="386">
          <cell r="B386" t="str">
            <v>W3295R</v>
          </cell>
          <cell r="C386" t="str">
            <v>Women's Cover Ups</v>
          </cell>
          <cell r="D386" t="str">
            <v>Toasted Almond</v>
          </cell>
          <cell r="E386" t="str">
            <v>63%POLYESTER 34%RAYON 3%EL...</v>
          </cell>
          <cell r="F386" t="str">
            <v>VN</v>
          </cell>
          <cell r="H386">
            <v>10.63</v>
          </cell>
          <cell r="I386">
            <v>16</v>
          </cell>
          <cell r="J386">
            <v>170.08</v>
          </cell>
          <cell r="K386" t="str">
            <v>6110.30.3059</v>
          </cell>
          <cell r="L386" t="str">
            <v>6110.30.99.00.00</v>
          </cell>
        </row>
        <row r="387">
          <cell r="B387" t="str">
            <v>W3438R</v>
          </cell>
          <cell r="C387" t="str">
            <v>Women's Cover Ups</v>
          </cell>
          <cell r="D387" t="str">
            <v>Black</v>
          </cell>
          <cell r="E387" t="str">
            <v>74%POLYESTER 21%VISCOSE 5%ELASTANE</v>
          </cell>
          <cell r="F387" t="str">
            <v>VN</v>
          </cell>
          <cell r="H387">
            <v>12.83</v>
          </cell>
          <cell r="I387">
            <v>28</v>
          </cell>
          <cell r="J387">
            <v>359.24</v>
          </cell>
          <cell r="K387" t="str">
            <v>6110.30.3059</v>
          </cell>
          <cell r="L387" t="str">
            <v>6110.30.99.00.00</v>
          </cell>
        </row>
        <row r="388">
          <cell r="B388" t="str">
            <v>W3438R</v>
          </cell>
          <cell r="C388" t="str">
            <v>Women's Cover Ups</v>
          </cell>
          <cell r="D388" t="str">
            <v>Gravel Heather</v>
          </cell>
          <cell r="E388" t="str">
            <v>74%POLYESTER 21%VISCOSE 5%ELASTANE</v>
          </cell>
          <cell r="F388" t="str">
            <v>VN</v>
          </cell>
          <cell r="H388">
            <v>12.83</v>
          </cell>
          <cell r="I388">
            <v>24</v>
          </cell>
          <cell r="J388">
            <v>307.92</v>
          </cell>
          <cell r="K388" t="str">
            <v>6110.30.3059</v>
          </cell>
          <cell r="L388" t="str">
            <v>6110.30.99.00.00</v>
          </cell>
        </row>
        <row r="389">
          <cell r="B389" t="str">
            <v>W3438R</v>
          </cell>
          <cell r="C389" t="str">
            <v>Women's Cover Ups</v>
          </cell>
          <cell r="D389" t="str">
            <v>Ivory</v>
          </cell>
          <cell r="E389" t="str">
            <v>74%POLYESTER 21%VISCOSE 5%ELASTANE</v>
          </cell>
          <cell r="F389" t="str">
            <v>VN</v>
          </cell>
          <cell r="H389">
            <v>12.83</v>
          </cell>
          <cell r="I389">
            <v>28</v>
          </cell>
          <cell r="J389">
            <v>359.24</v>
          </cell>
          <cell r="K389" t="str">
            <v>6110.30.3059</v>
          </cell>
          <cell r="L389" t="str">
            <v>6110.30.99.00.00</v>
          </cell>
        </row>
        <row r="390">
          <cell r="B390" t="str">
            <v>W3438R</v>
          </cell>
          <cell r="C390" t="str">
            <v>Women's Cover Ups</v>
          </cell>
          <cell r="D390" t="str">
            <v>Navy</v>
          </cell>
          <cell r="E390" t="str">
            <v>74%POLYESTER 21%VISCOSE 5%ELASTANE</v>
          </cell>
          <cell r="F390" t="str">
            <v>VN</v>
          </cell>
          <cell r="H390">
            <v>12.83</v>
          </cell>
          <cell r="I390">
            <v>24</v>
          </cell>
          <cell r="J390">
            <v>307.92</v>
          </cell>
          <cell r="K390" t="str">
            <v>6110.30.3059</v>
          </cell>
          <cell r="L390" t="str">
            <v>6110.30.99.00.00</v>
          </cell>
        </row>
        <row r="391">
          <cell r="B391" t="str">
            <v>W3438R</v>
          </cell>
          <cell r="C391" t="str">
            <v>Women's Cover Ups</v>
          </cell>
          <cell r="D391" t="str">
            <v>Steel Grey Heather</v>
          </cell>
          <cell r="E391" t="str">
            <v>74%POLYESTER 21%RAYON 5%ELASTANE</v>
          </cell>
          <cell r="F391" t="str">
            <v>CN</v>
          </cell>
          <cell r="H391">
            <v>12.83</v>
          </cell>
          <cell r="I391">
            <v>18</v>
          </cell>
          <cell r="J391">
            <v>230.94</v>
          </cell>
          <cell r="K391" t="str">
            <v>6110.30.3059</v>
          </cell>
          <cell r="L391" t="str">
            <v>6110.30.99.00.00</v>
          </cell>
        </row>
        <row r="392">
          <cell r="B392" t="str">
            <v>W3678R</v>
          </cell>
          <cell r="C392" t="str">
            <v>Women's Cover Ups</v>
          </cell>
          <cell r="D392" t="str">
            <v>Black</v>
          </cell>
          <cell r="E392" t="str">
            <v>49%VISCOSE 29%POLYESTER 18%...</v>
          </cell>
          <cell r="F392" t="str">
            <v>CN</v>
          </cell>
          <cell r="H392">
            <v>15.95</v>
          </cell>
          <cell r="I392">
            <v>14</v>
          </cell>
          <cell r="J392">
            <v>223.3</v>
          </cell>
          <cell r="K392" t="str">
            <v>6110.30.3059</v>
          </cell>
          <cell r="L392" t="str">
            <v>6110.30.99.00.00</v>
          </cell>
        </row>
        <row r="393">
          <cell r="B393" t="str">
            <v>W3678R</v>
          </cell>
          <cell r="C393" t="str">
            <v>Women's Cover Ups</v>
          </cell>
          <cell r="D393" t="str">
            <v>Ivory</v>
          </cell>
          <cell r="E393" t="str">
            <v>49%RAYON 29%POLYESTER 18%N...</v>
          </cell>
          <cell r="F393" t="str">
            <v>CN</v>
          </cell>
          <cell r="H393">
            <v>15.95</v>
          </cell>
          <cell r="I393">
            <v>14</v>
          </cell>
          <cell r="J393">
            <v>223.3</v>
          </cell>
          <cell r="K393" t="str">
            <v>6110.30.3059</v>
          </cell>
          <cell r="L393" t="str">
            <v>6110.30.99.00.00</v>
          </cell>
        </row>
        <row r="394">
          <cell r="B394" t="str">
            <v>W3694R</v>
          </cell>
          <cell r="C394" t="str">
            <v>Women's Long Sleeve Tops</v>
          </cell>
          <cell r="D394" t="str">
            <v>White</v>
          </cell>
          <cell r="E394" t="str">
            <v>87%POLYESTER 13%ELASTANE</v>
          </cell>
          <cell r="F394" t="str">
            <v>CN</v>
          </cell>
          <cell r="H394">
            <v>16.62</v>
          </cell>
          <cell r="I394">
            <v>14</v>
          </cell>
          <cell r="J394">
            <v>232.68</v>
          </cell>
          <cell r="K394" t="str">
            <v>6110.30.3059</v>
          </cell>
          <cell r="L394" t="str">
            <v>6110.30.99.00.00</v>
          </cell>
        </row>
        <row r="395">
          <cell r="B395" t="str">
            <v>W3694R</v>
          </cell>
          <cell r="C395" t="str">
            <v>Women's Long Sleeve Tops</v>
          </cell>
          <cell r="D395" t="str">
            <v>Black</v>
          </cell>
          <cell r="E395" t="str">
            <v>87%POLYESTER 13%ELASTANE</v>
          </cell>
          <cell r="F395" t="str">
            <v>CN</v>
          </cell>
          <cell r="H395">
            <v>16.62</v>
          </cell>
          <cell r="I395">
            <v>14</v>
          </cell>
          <cell r="J395">
            <v>232.68</v>
          </cell>
          <cell r="K395" t="str">
            <v>6110.30.3059</v>
          </cell>
          <cell r="L395" t="str">
            <v>6110.30.99.00.00</v>
          </cell>
        </row>
        <row r="396">
          <cell r="B396" t="str">
            <v>W3735R</v>
          </cell>
          <cell r="C396" t="str">
            <v>Women's Long Sleeve Tops</v>
          </cell>
          <cell r="D396" t="str">
            <v>Black</v>
          </cell>
          <cell r="E396" t="str">
            <v>83%POLYESTER 17%ELASTANE</v>
          </cell>
          <cell r="F396" t="str">
            <v>VN</v>
          </cell>
          <cell r="H396">
            <v>15.07</v>
          </cell>
          <cell r="I396">
            <v>14</v>
          </cell>
          <cell r="J396">
            <v>210.98</v>
          </cell>
          <cell r="K396" t="str">
            <v>6110.30.3059</v>
          </cell>
          <cell r="L396" t="str">
            <v>6110.30.99.00.00</v>
          </cell>
        </row>
        <row r="397">
          <cell r="B397" t="str">
            <v>W3735R</v>
          </cell>
          <cell r="C397" t="str">
            <v>Women's Long Sleeve Tops</v>
          </cell>
          <cell r="D397" t="str">
            <v>Espresso</v>
          </cell>
          <cell r="E397" t="str">
            <v>83%POLYESTER 17%ELASTANE</v>
          </cell>
          <cell r="F397" t="str">
            <v>VN</v>
          </cell>
          <cell r="H397">
            <v>15.07</v>
          </cell>
          <cell r="I397">
            <v>12</v>
          </cell>
          <cell r="J397">
            <v>180.84</v>
          </cell>
          <cell r="K397" t="str">
            <v>6110.30.3059</v>
          </cell>
          <cell r="L397" t="str">
            <v>6110.30.99.00.00</v>
          </cell>
        </row>
        <row r="398">
          <cell r="B398" t="str">
            <v>W3735R</v>
          </cell>
          <cell r="C398" t="str">
            <v>Women's Long Sleeve Tops</v>
          </cell>
          <cell r="D398" t="str">
            <v>Steel Grey</v>
          </cell>
          <cell r="E398" t="str">
            <v>83%POLYESTER 17%ELASTANE</v>
          </cell>
          <cell r="F398" t="str">
            <v>VN</v>
          </cell>
          <cell r="H398">
            <v>15.07</v>
          </cell>
          <cell r="I398">
            <v>14</v>
          </cell>
          <cell r="J398">
            <v>210.98</v>
          </cell>
          <cell r="K398" t="str">
            <v>6110.30.3059</v>
          </cell>
          <cell r="L398" t="str">
            <v>6110.30.99.00.00</v>
          </cell>
        </row>
        <row r="399">
          <cell r="B399" t="str">
            <v>W3783R</v>
          </cell>
          <cell r="C399" t="str">
            <v>Women's Cover Ups</v>
          </cell>
          <cell r="D399" t="str">
            <v>Athletic Heather Grey</v>
          </cell>
          <cell r="E399" t="str">
            <v>88%POLYESTER 7%NYLON 5%ELA...</v>
          </cell>
          <cell r="F399" t="str">
            <v>CN</v>
          </cell>
          <cell r="H399">
            <v>18</v>
          </cell>
          <cell r="I399">
            <v>31</v>
          </cell>
          <cell r="J399">
            <v>558</v>
          </cell>
          <cell r="K399" t="str">
            <v>6110.30.3059</v>
          </cell>
          <cell r="L399" t="str">
            <v>6110.30.99.00.00</v>
          </cell>
        </row>
        <row r="400">
          <cell r="B400" t="str">
            <v>W3783R</v>
          </cell>
          <cell r="C400" t="str">
            <v>Women's Cover Ups</v>
          </cell>
          <cell r="D400" t="str">
            <v>Ivory</v>
          </cell>
          <cell r="E400" t="str">
            <v>88%POLYESTER 7%NYLON 5%ELA...</v>
          </cell>
          <cell r="F400" t="str">
            <v>CN</v>
          </cell>
          <cell r="H400">
            <v>18</v>
          </cell>
          <cell r="I400">
            <v>31</v>
          </cell>
          <cell r="J400">
            <v>558</v>
          </cell>
          <cell r="K400" t="str">
            <v>6110.30.3059</v>
          </cell>
          <cell r="L400" t="str">
            <v>6110.30.99.00.00</v>
          </cell>
        </row>
        <row r="401">
          <cell r="B401" t="str">
            <v>W3851R</v>
          </cell>
          <cell r="C401" t="str">
            <v>Women's Long Sleeve Tops</v>
          </cell>
          <cell r="D401" t="str">
            <v>Black</v>
          </cell>
          <cell r="E401" t="str">
            <v>93%MODAL 7%ELASTANE</v>
          </cell>
          <cell r="F401" t="str">
            <v>VN</v>
          </cell>
          <cell r="H401">
            <v>12.4</v>
          </cell>
          <cell r="I401">
            <v>16</v>
          </cell>
          <cell r="J401">
            <v>198.4</v>
          </cell>
          <cell r="K401" t="str">
            <v>6110.30.3059</v>
          </cell>
          <cell r="L401" t="str">
            <v>6110.30.99.00.00</v>
          </cell>
        </row>
        <row r="402">
          <cell r="B402" t="str">
            <v>W3851R</v>
          </cell>
          <cell r="C402" t="str">
            <v>Women's Long Sleeve Tops</v>
          </cell>
          <cell r="D402" t="str">
            <v>Ivory</v>
          </cell>
          <cell r="E402" t="str">
            <v>93%MODAL 7%ELASTANE</v>
          </cell>
          <cell r="F402" t="str">
            <v>VN</v>
          </cell>
          <cell r="H402">
            <v>12.4</v>
          </cell>
          <cell r="I402">
            <v>16</v>
          </cell>
          <cell r="J402">
            <v>198.4</v>
          </cell>
          <cell r="K402" t="str">
            <v>6110.30.3059</v>
          </cell>
          <cell r="L402" t="str">
            <v>6110.30.99.00.00</v>
          </cell>
        </row>
        <row r="403">
          <cell r="B403" t="str">
            <v>W4488R</v>
          </cell>
          <cell r="C403" t="str">
            <v>Women's Long Sleeve Tops</v>
          </cell>
          <cell r="D403" t="str">
            <v>White</v>
          </cell>
          <cell r="E403" t="str">
            <v>72%POLYESTER 18%TENCEL™LYO...</v>
          </cell>
          <cell r="F403" t="str">
            <v>VN</v>
          </cell>
          <cell r="H403">
            <v>15.85</v>
          </cell>
          <cell r="I403">
            <v>24</v>
          </cell>
          <cell r="J403">
            <v>380.4</v>
          </cell>
          <cell r="K403" t="str">
            <v>6110.30.3059</v>
          </cell>
          <cell r="L403" t="str">
            <v>6110.30.99.00.00</v>
          </cell>
        </row>
        <row r="404">
          <cell r="B404" t="str">
            <v>W4488R</v>
          </cell>
          <cell r="C404" t="str">
            <v>Women's Long Sleeve Tops</v>
          </cell>
          <cell r="D404" t="str">
            <v>Black</v>
          </cell>
          <cell r="E404" t="str">
            <v>72%POLYESTER 18%TENCEL™LYO...</v>
          </cell>
          <cell r="F404" t="str">
            <v>VN</v>
          </cell>
          <cell r="H404">
            <v>15.85</v>
          </cell>
          <cell r="I404">
            <v>24</v>
          </cell>
          <cell r="J404">
            <v>380.4</v>
          </cell>
          <cell r="K404" t="str">
            <v>6110.30.3059</v>
          </cell>
          <cell r="L404" t="str">
            <v>6110.30.99.00.00</v>
          </cell>
        </row>
        <row r="405">
          <cell r="B405" t="str">
            <v>W4488R</v>
          </cell>
          <cell r="C405" t="str">
            <v>Women's Long Sleeve Tops</v>
          </cell>
          <cell r="D405" t="str">
            <v>Eclipse Blue</v>
          </cell>
          <cell r="E405" t="str">
            <v>72%POLYESTER 18%TENCEL™LYO...</v>
          </cell>
          <cell r="F405" t="str">
            <v>VN</v>
          </cell>
          <cell r="H405">
            <v>15.85</v>
          </cell>
          <cell r="I405">
            <v>12</v>
          </cell>
          <cell r="J405">
            <v>190.2</v>
          </cell>
          <cell r="K405" t="str">
            <v>6110.30.3059</v>
          </cell>
          <cell r="L405" t="str">
            <v>6110.30.99.00.00</v>
          </cell>
        </row>
        <row r="406">
          <cell r="B406" t="str">
            <v>AMKNCW1057</v>
          </cell>
          <cell r="C406" t="str">
            <v>MA QUAD CREWNECK</v>
          </cell>
          <cell r="E406" t="str">
            <v>63% WOOL 37% VISCOSE</v>
          </cell>
          <cell r="F406" t="str">
            <v>IT</v>
          </cell>
          <cell r="H406">
            <v>357</v>
          </cell>
          <cell r="I406">
            <v>8</v>
          </cell>
          <cell r="J406">
            <v>2856</v>
          </cell>
          <cell r="K406" t="str">
            <v>61101130</v>
          </cell>
          <cell r="L406" t="str">
            <v>6110.11.30.00.00</v>
          </cell>
        </row>
        <row r="407">
          <cell r="B407" t="str">
            <v>AMKNCW1066</v>
          </cell>
          <cell r="C407" t="str">
            <v>MA QUAD CREWNECK</v>
          </cell>
          <cell r="E407" t="str">
            <v>90% WOOL 10% VISCOSE</v>
          </cell>
          <cell r="F407" t="str">
            <v>IT</v>
          </cell>
          <cell r="H407">
            <v>327</v>
          </cell>
          <cell r="I407">
            <v>11</v>
          </cell>
          <cell r="J407">
            <v>3597</v>
          </cell>
          <cell r="K407" t="str">
            <v>61101130</v>
          </cell>
          <cell r="L407" t="str">
            <v>6110.11.30.00.00</v>
          </cell>
        </row>
        <row r="408">
          <cell r="B408" t="str">
            <v>AMKNCW1072</v>
          </cell>
          <cell r="C408" t="str">
            <v>MA QUAD CREW</v>
          </cell>
          <cell r="E408" t="str">
            <v>60% WOOL 30% VISCOSE</v>
          </cell>
          <cell r="F408" t="str">
            <v>IT</v>
          </cell>
          <cell r="H408">
            <v>259</v>
          </cell>
          <cell r="I408">
            <v>9</v>
          </cell>
          <cell r="J408">
            <v>2331</v>
          </cell>
          <cell r="K408" t="str">
            <v>61101130</v>
          </cell>
          <cell r="L408" t="str">
            <v>6110.11.30.00.00</v>
          </cell>
        </row>
        <row r="409">
          <cell r="B409" t="str">
            <v>AMJYCW1041</v>
          </cell>
          <cell r="C409" t="str">
            <v>MA BANDANA SILK APPLIQUE CREW</v>
          </cell>
          <cell r="E409" t="str">
            <v>100% COTTON</v>
          </cell>
          <cell r="F409" t="str">
            <v>IT</v>
          </cell>
          <cell r="H409">
            <v>255</v>
          </cell>
          <cell r="I409">
            <v>6</v>
          </cell>
          <cell r="J409">
            <v>1530</v>
          </cell>
          <cell r="K409" t="str">
            <v>61102091</v>
          </cell>
          <cell r="L409" t="str">
            <v>6110.20.91.00.00</v>
          </cell>
        </row>
        <row r="410">
          <cell r="B410" t="str">
            <v>AMJYHD1066</v>
          </cell>
          <cell r="C410" t="str">
            <v>MA QUAD ZIP UP HOODIE</v>
          </cell>
          <cell r="E410" t="str">
            <v>100% COTTON</v>
          </cell>
          <cell r="F410" t="str">
            <v>IT</v>
          </cell>
          <cell r="H410">
            <v>285</v>
          </cell>
          <cell r="I410">
            <v>6</v>
          </cell>
          <cell r="J410">
            <v>1710</v>
          </cell>
          <cell r="K410" t="str">
            <v>61102091</v>
          </cell>
          <cell r="L410" t="str">
            <v>6110.20.91.00.00</v>
          </cell>
        </row>
        <row r="411">
          <cell r="B411" t="str">
            <v>AMKNHD1004</v>
          </cell>
          <cell r="C411" t="str">
            <v>BANDANA HOODIE</v>
          </cell>
          <cell r="E411" t="str">
            <v>100% EGYPTIAN COTTON</v>
          </cell>
          <cell r="F411" t="str">
            <v>IT</v>
          </cell>
          <cell r="H411">
            <v>317.10000000000002</v>
          </cell>
          <cell r="I411">
            <v>8</v>
          </cell>
          <cell r="J411">
            <v>2536.8000000000002</v>
          </cell>
          <cell r="K411" t="str">
            <v>61102091</v>
          </cell>
          <cell r="L411" t="str">
            <v>6110.20.91.00.00</v>
          </cell>
        </row>
        <row r="412">
          <cell r="B412" t="str">
            <v>AMJYHD1086</v>
          </cell>
          <cell r="C412" t="str">
            <v>VINTAGE AMIRI OVERSIZED HOODIE</v>
          </cell>
          <cell r="E412" t="str">
            <v>100% COTTON</v>
          </cell>
          <cell r="F412" t="str">
            <v>IT</v>
          </cell>
          <cell r="H412">
            <v>259</v>
          </cell>
          <cell r="I412">
            <v>7</v>
          </cell>
          <cell r="J412">
            <v>1813</v>
          </cell>
          <cell r="K412" t="str">
            <v>61102091</v>
          </cell>
          <cell r="L412" t="str">
            <v>6110.20.91.00.00</v>
          </cell>
        </row>
        <row r="413">
          <cell r="B413" t="str">
            <v>AMOUDW1007</v>
          </cell>
          <cell r="C413" t="str">
            <v>MA QUAD JACQUARD DOWN GILET</v>
          </cell>
          <cell r="E413" t="str">
            <v>100% POLYAMIDE</v>
          </cell>
          <cell r="F413" t="str">
            <v>RO</v>
          </cell>
          <cell r="H413">
            <v>492.1</v>
          </cell>
          <cell r="I413">
            <v>6</v>
          </cell>
          <cell r="J413">
            <v>2952.6000000000004</v>
          </cell>
          <cell r="K413" t="str">
            <v>61103091</v>
          </cell>
          <cell r="L413" t="str">
            <v>6110.30.91.00.00</v>
          </cell>
        </row>
        <row r="414">
          <cell r="B414" t="str">
            <v>U4049R</v>
          </cell>
          <cell r="C414" t="str">
            <v>Unisex Outerwear</v>
          </cell>
          <cell r="D414" t="str">
            <v>Espresso</v>
          </cell>
          <cell r="E414" t="str">
            <v>SHELL: 92%POLYESTER 8%ELAST...</v>
          </cell>
          <cell r="F414" t="str">
            <v>CN</v>
          </cell>
          <cell r="H414">
            <v>46.65</v>
          </cell>
          <cell r="I414">
            <v>11</v>
          </cell>
          <cell r="J414">
            <v>513.15</v>
          </cell>
          <cell r="K414" t="str">
            <v>6113.00.1010</v>
          </cell>
          <cell r="L414" t="str">
            <v>6113.00.10.00.00</v>
          </cell>
        </row>
        <row r="415">
          <cell r="B415" t="str">
            <v>W4618R</v>
          </cell>
          <cell r="C415" t="str">
            <v>Women's Outerwear</v>
          </cell>
          <cell r="D415" t="str">
            <v>Black</v>
          </cell>
          <cell r="E415" t="str">
            <v>SHELL: 92%POLYESTER 8%ELAST...</v>
          </cell>
          <cell r="F415" t="str">
            <v>CN</v>
          </cell>
          <cell r="H415">
            <v>40.5</v>
          </cell>
          <cell r="I415">
            <v>9</v>
          </cell>
          <cell r="J415">
            <v>364.5</v>
          </cell>
          <cell r="K415" t="str">
            <v>6113.00.1010</v>
          </cell>
          <cell r="L415" t="str">
            <v>6113.00.10.00.00</v>
          </cell>
        </row>
        <row r="416">
          <cell r="B416" t="str">
            <v>W2675RG</v>
          </cell>
          <cell r="C416" t="str">
            <v>Women's Tanks</v>
          </cell>
          <cell r="D416" t="str">
            <v>White/Black</v>
          </cell>
          <cell r="E416" t="str">
            <v>95%COTTON 5%ELASTANE</v>
          </cell>
          <cell r="F416" t="str">
            <v>CN</v>
          </cell>
          <cell r="H416">
            <v>7.31</v>
          </cell>
          <cell r="I416">
            <v>28</v>
          </cell>
          <cell r="J416">
            <v>204.68</v>
          </cell>
          <cell r="K416" t="str">
            <v>6114.20.0010</v>
          </cell>
          <cell r="L416" t="str">
            <v>6114.20.00.00.00</v>
          </cell>
        </row>
        <row r="417">
          <cell r="B417" t="str">
            <v>W2675RG</v>
          </cell>
          <cell r="C417" t="str">
            <v>Women's Tanks</v>
          </cell>
          <cell r="D417" t="str">
            <v>Black/White</v>
          </cell>
          <cell r="E417" t="str">
            <v>95%COTTON 5%ELASTANE</v>
          </cell>
          <cell r="F417" t="str">
            <v>CN</v>
          </cell>
          <cell r="H417">
            <v>7.31</v>
          </cell>
          <cell r="I417">
            <v>28</v>
          </cell>
          <cell r="J417">
            <v>204.68</v>
          </cell>
          <cell r="K417" t="str">
            <v>6114.20.0010</v>
          </cell>
          <cell r="L417" t="str">
            <v>6114.20.00.00.00</v>
          </cell>
        </row>
        <row r="418">
          <cell r="B418" t="str">
            <v>W2675RG</v>
          </cell>
          <cell r="C418" t="str">
            <v>Women's Tanks</v>
          </cell>
          <cell r="D418" t="str">
            <v>Gravel/White</v>
          </cell>
          <cell r="E418" t="str">
            <v>95%COTTON 5%ELASTANE</v>
          </cell>
          <cell r="F418" t="str">
            <v>CN</v>
          </cell>
          <cell r="H418">
            <v>7.31</v>
          </cell>
          <cell r="I418">
            <v>18</v>
          </cell>
          <cell r="J418">
            <v>131.58000000000001</v>
          </cell>
          <cell r="K418" t="str">
            <v>6114.20.0010</v>
          </cell>
          <cell r="L418" t="str">
            <v>6114.20.00.00.00</v>
          </cell>
        </row>
        <row r="419">
          <cell r="B419" t="str">
            <v>W3820R</v>
          </cell>
          <cell r="C419" t="str">
            <v>Women's Cover Ups</v>
          </cell>
          <cell r="D419" t="str">
            <v>Black</v>
          </cell>
          <cell r="E419" t="str">
            <v>65%COTTON 35%POLYESTER&gt;EXC...</v>
          </cell>
          <cell r="F419" t="str">
            <v>CN</v>
          </cell>
          <cell r="H419">
            <v>9.75</v>
          </cell>
          <cell r="I419">
            <v>12</v>
          </cell>
          <cell r="J419">
            <v>117</v>
          </cell>
          <cell r="K419" t="str">
            <v>6114.20.0010</v>
          </cell>
          <cell r="L419" t="str">
            <v>6114.20.00.00.00</v>
          </cell>
        </row>
        <row r="420">
          <cell r="B420" t="str">
            <v>W3820R</v>
          </cell>
          <cell r="C420" t="str">
            <v>Women's Cover Ups</v>
          </cell>
          <cell r="D420" t="str">
            <v>Athletic Heather Grey</v>
          </cell>
          <cell r="E420" t="str">
            <v>65%COTTON 35%POLYESTER&gt;EXC...</v>
          </cell>
          <cell r="F420" t="str">
            <v>CN</v>
          </cell>
          <cell r="H420">
            <v>9.75</v>
          </cell>
          <cell r="I420">
            <v>12</v>
          </cell>
          <cell r="J420">
            <v>117</v>
          </cell>
          <cell r="K420" t="str">
            <v>6114.20.0010</v>
          </cell>
          <cell r="L420" t="str">
            <v>6114.20.00.00.00</v>
          </cell>
        </row>
        <row r="421">
          <cell r="B421" t="str">
            <v>W9559R</v>
          </cell>
          <cell r="C421" t="str">
            <v>Women's Bras</v>
          </cell>
          <cell r="D421" t="str">
            <v>White</v>
          </cell>
          <cell r="E421" t="str">
            <v>67%COTTON 26%NYLON 7%ELASTANE</v>
          </cell>
          <cell r="F421" t="str">
            <v>CN</v>
          </cell>
          <cell r="H421">
            <v>6.45</v>
          </cell>
          <cell r="I421">
            <v>15</v>
          </cell>
          <cell r="J421">
            <v>96.75</v>
          </cell>
          <cell r="K421" t="str">
            <v>6114.20.0010</v>
          </cell>
          <cell r="L421" t="str">
            <v>6114.20.00.00.00</v>
          </cell>
        </row>
        <row r="422">
          <cell r="B422" t="str">
            <v>W9559R</v>
          </cell>
          <cell r="C422" t="str">
            <v>Women's Bras</v>
          </cell>
          <cell r="D422" t="str">
            <v>Black</v>
          </cell>
          <cell r="E422" t="str">
            <v>67%COTTON 26%NYLON 7%ELASTANE</v>
          </cell>
          <cell r="F422" t="str">
            <v>CN</v>
          </cell>
          <cell r="H422">
            <v>6.45</v>
          </cell>
          <cell r="I422">
            <v>15</v>
          </cell>
          <cell r="J422">
            <v>96.75</v>
          </cell>
          <cell r="K422" t="str">
            <v>6114.20.0010</v>
          </cell>
          <cell r="L422" t="str">
            <v>6114.20.00.00.00</v>
          </cell>
        </row>
        <row r="423">
          <cell r="B423" t="str">
            <v>W9808R</v>
          </cell>
          <cell r="C423" t="str">
            <v>Women's Bras</v>
          </cell>
          <cell r="D423" t="str">
            <v>Black/Ivory</v>
          </cell>
          <cell r="E423" t="str">
            <v>100%COTTON&gt;EXCLUSIVE OF TRIMMING</v>
          </cell>
          <cell r="F423" t="str">
            <v>CN</v>
          </cell>
          <cell r="H423">
            <v>11.41</v>
          </cell>
          <cell r="I423">
            <v>9</v>
          </cell>
          <cell r="J423">
            <v>102.69</v>
          </cell>
          <cell r="K423" t="str">
            <v>6114.20.0010</v>
          </cell>
          <cell r="L423" t="str">
            <v>6114.20.00.00.00</v>
          </cell>
        </row>
        <row r="424">
          <cell r="B424" t="str">
            <v>W9730R</v>
          </cell>
          <cell r="C424" t="str">
            <v>Women's Tanks</v>
          </cell>
          <cell r="D424" t="str">
            <v>White</v>
          </cell>
          <cell r="E424" t="str">
            <v>97%NYLON 3%ELASTANE</v>
          </cell>
          <cell r="F424" t="str">
            <v>CN</v>
          </cell>
          <cell r="H424">
            <v>13.95</v>
          </cell>
          <cell r="I424">
            <v>31</v>
          </cell>
          <cell r="J424">
            <v>432.45</v>
          </cell>
          <cell r="K424" t="str">
            <v>6114.30.1020</v>
          </cell>
          <cell r="L424" t="str">
            <v>6114.30.00.00.11</v>
          </cell>
        </row>
        <row r="425">
          <cell r="B425" t="str">
            <v>W1406R</v>
          </cell>
          <cell r="C425" t="str">
            <v>Women's Short Sleeve Tops</v>
          </cell>
          <cell r="D425" t="str">
            <v>Navy</v>
          </cell>
          <cell r="E425" t="str">
            <v>94%POLYESTER 6%ELASTANE</v>
          </cell>
          <cell r="F425" t="str">
            <v>CN</v>
          </cell>
          <cell r="H425">
            <v>4.71</v>
          </cell>
          <cell r="I425">
            <v>18</v>
          </cell>
          <cell r="J425">
            <v>84.78</v>
          </cell>
          <cell r="K425" t="str">
            <v>6114.30.1020</v>
          </cell>
          <cell r="L425" t="str">
            <v>6114.30.00.00.11</v>
          </cell>
        </row>
        <row r="426">
          <cell r="B426" t="str">
            <v>W1406R</v>
          </cell>
          <cell r="C426" t="str">
            <v>Women's Short Sleeve Tops</v>
          </cell>
          <cell r="D426" t="str">
            <v>Eclipse Blue</v>
          </cell>
          <cell r="E426" t="str">
            <v>94%POLYESTER 6%ELASTANE&gt;EX...</v>
          </cell>
          <cell r="F426" t="str">
            <v>VN</v>
          </cell>
          <cell r="H426">
            <v>4.75</v>
          </cell>
          <cell r="I426">
            <v>14</v>
          </cell>
          <cell r="J426">
            <v>66.5</v>
          </cell>
          <cell r="K426" t="str">
            <v>6114.30.1020</v>
          </cell>
          <cell r="L426" t="str">
            <v>6114.30.00.00.11</v>
          </cell>
        </row>
        <row r="427">
          <cell r="B427" t="str">
            <v>W1455R</v>
          </cell>
          <cell r="C427" t="str">
            <v>Women's Short Sleeve Tops</v>
          </cell>
          <cell r="D427" t="str">
            <v>Ivory</v>
          </cell>
          <cell r="E427" t="str">
            <v>99%NYLON 1%ELASTANE&gt;EXCLUS...</v>
          </cell>
          <cell r="F427" t="str">
            <v>CN</v>
          </cell>
          <cell r="H427">
            <v>15.55</v>
          </cell>
          <cell r="I427">
            <v>9</v>
          </cell>
          <cell r="J427">
            <v>139.94999999999999</v>
          </cell>
          <cell r="K427" t="str">
            <v>6114.30.1020</v>
          </cell>
          <cell r="L427" t="str">
            <v>6114.30.00.00.11</v>
          </cell>
        </row>
        <row r="428">
          <cell r="B428" t="str">
            <v>W2564R</v>
          </cell>
          <cell r="C428" t="str">
            <v>Women's Tanks</v>
          </cell>
          <cell r="D428" t="str">
            <v>White</v>
          </cell>
          <cell r="E428" t="str">
            <v>94%VISCOSE 6%ELASTANE</v>
          </cell>
          <cell r="F428" t="str">
            <v>CN</v>
          </cell>
          <cell r="H428">
            <v>5.45</v>
          </cell>
          <cell r="I428">
            <v>14</v>
          </cell>
          <cell r="J428">
            <v>76.3</v>
          </cell>
          <cell r="K428" t="str">
            <v>6114.30.1020</v>
          </cell>
          <cell r="L428" t="str">
            <v>6114.30.00.00.11</v>
          </cell>
        </row>
        <row r="429">
          <cell r="B429" t="str">
            <v>W2564R</v>
          </cell>
          <cell r="C429" t="str">
            <v>Women's Tanks</v>
          </cell>
          <cell r="D429" t="str">
            <v>Black</v>
          </cell>
          <cell r="E429" t="str">
            <v>94%VISCOSE 6%ELASTANE</v>
          </cell>
          <cell r="F429" t="str">
            <v>CN</v>
          </cell>
          <cell r="H429">
            <v>5.45</v>
          </cell>
          <cell r="I429">
            <v>14</v>
          </cell>
          <cell r="J429">
            <v>76.3</v>
          </cell>
          <cell r="K429" t="str">
            <v>6114.30.1020</v>
          </cell>
          <cell r="L429" t="str">
            <v>6114.30.00.00.11</v>
          </cell>
        </row>
        <row r="430">
          <cell r="B430" t="str">
            <v>W2737R</v>
          </cell>
          <cell r="C430" t="str">
            <v>Women's Tanks</v>
          </cell>
          <cell r="D430" t="str">
            <v>White</v>
          </cell>
          <cell r="E430" t="str">
            <v>90%NYLON 10%ELASTANE</v>
          </cell>
          <cell r="F430" t="str">
            <v>CN</v>
          </cell>
          <cell r="H430">
            <v>9.9</v>
          </cell>
          <cell r="I430">
            <v>19</v>
          </cell>
          <cell r="J430">
            <v>188.1</v>
          </cell>
          <cell r="K430" t="str">
            <v>6114.30.1020</v>
          </cell>
          <cell r="L430" t="str">
            <v>6114.30.00.00.11</v>
          </cell>
        </row>
        <row r="431">
          <cell r="B431" t="str">
            <v>W2737R</v>
          </cell>
          <cell r="C431" t="str">
            <v>Women's Tanks</v>
          </cell>
          <cell r="D431" t="str">
            <v>Black</v>
          </cell>
          <cell r="E431" t="str">
            <v>90%NYLON 10%ELASTANE</v>
          </cell>
          <cell r="F431" t="str">
            <v>CN</v>
          </cell>
          <cell r="H431">
            <v>9.9</v>
          </cell>
          <cell r="I431">
            <v>19</v>
          </cell>
          <cell r="J431">
            <v>188.1</v>
          </cell>
          <cell r="K431" t="str">
            <v>6114.30.1020</v>
          </cell>
          <cell r="L431" t="str">
            <v>6114.30.00.00.11</v>
          </cell>
        </row>
        <row r="432">
          <cell r="B432" t="str">
            <v>W2737R</v>
          </cell>
          <cell r="C432" t="str">
            <v>Women's Tanks</v>
          </cell>
          <cell r="D432" t="str">
            <v>Espresso</v>
          </cell>
          <cell r="E432" t="str">
            <v>90%NYLON 10%ELASTANE</v>
          </cell>
          <cell r="F432" t="str">
            <v>CN</v>
          </cell>
          <cell r="H432">
            <v>9.9</v>
          </cell>
          <cell r="I432">
            <v>18</v>
          </cell>
          <cell r="J432">
            <v>178.2</v>
          </cell>
          <cell r="K432" t="str">
            <v>6114.30.1020</v>
          </cell>
          <cell r="L432" t="str">
            <v>6114.30.00.00.11</v>
          </cell>
        </row>
        <row r="433">
          <cell r="B433" t="str">
            <v>W2760R</v>
          </cell>
          <cell r="C433" t="str">
            <v>Women's Tanks</v>
          </cell>
          <cell r="D433" t="str">
            <v>White</v>
          </cell>
          <cell r="E433" t="str">
            <v>93%POLYESTER 7%ELASTANE</v>
          </cell>
          <cell r="F433" t="str">
            <v>CN</v>
          </cell>
          <cell r="H433">
            <v>10.39</v>
          </cell>
          <cell r="I433">
            <v>12</v>
          </cell>
          <cell r="J433">
            <v>124.68</v>
          </cell>
          <cell r="K433" t="str">
            <v>6114.30.1020</v>
          </cell>
          <cell r="L433" t="str">
            <v>6114.30.00.00.11</v>
          </cell>
        </row>
        <row r="434">
          <cell r="B434" t="str">
            <v>W2760R</v>
          </cell>
          <cell r="C434" t="str">
            <v>Women's Tanks</v>
          </cell>
          <cell r="D434" t="str">
            <v>Black</v>
          </cell>
          <cell r="E434" t="str">
            <v>93%POLYESTER 7%ELASTANE</v>
          </cell>
          <cell r="F434" t="str">
            <v>CN</v>
          </cell>
          <cell r="H434">
            <v>10.39</v>
          </cell>
          <cell r="I434">
            <v>12</v>
          </cell>
          <cell r="J434">
            <v>124.68</v>
          </cell>
          <cell r="K434" t="str">
            <v>6114.30.1020</v>
          </cell>
          <cell r="L434" t="str">
            <v>6114.30.00.00.11</v>
          </cell>
        </row>
        <row r="435">
          <cell r="B435" t="str">
            <v>W2760R</v>
          </cell>
          <cell r="C435" t="str">
            <v>Women's Tanks</v>
          </cell>
          <cell r="D435" t="str">
            <v>Steel Grey</v>
          </cell>
          <cell r="E435" t="str">
            <v>93%POLYESTER 7%ELASTANE</v>
          </cell>
          <cell r="F435" t="str">
            <v>VN</v>
          </cell>
          <cell r="H435">
            <v>10.39</v>
          </cell>
          <cell r="I435">
            <v>9</v>
          </cell>
          <cell r="J435">
            <v>93.51</v>
          </cell>
          <cell r="K435" t="str">
            <v>6114.30.1020</v>
          </cell>
          <cell r="L435" t="str">
            <v>6114.30.00.00.11</v>
          </cell>
        </row>
        <row r="436">
          <cell r="B436" t="str">
            <v>W3345R</v>
          </cell>
          <cell r="C436" t="str">
            <v>Women's Long Sleeve Tops</v>
          </cell>
          <cell r="D436" t="str">
            <v>White</v>
          </cell>
          <cell r="E436" t="str">
            <v>ALL: 95%MODAL 5%ELASTANE</v>
          </cell>
          <cell r="F436" t="str">
            <v>VN</v>
          </cell>
          <cell r="H436">
            <v>10.67</v>
          </cell>
          <cell r="I436">
            <v>18</v>
          </cell>
          <cell r="J436">
            <v>192.06</v>
          </cell>
          <cell r="K436" t="str">
            <v>6114.30.1020</v>
          </cell>
          <cell r="L436" t="str">
            <v>6114.30.00.00.11</v>
          </cell>
        </row>
        <row r="437">
          <cell r="B437" t="str">
            <v>W3345R</v>
          </cell>
          <cell r="C437" t="str">
            <v>Women's Long Sleeve Tops</v>
          </cell>
          <cell r="D437" t="str">
            <v>Black</v>
          </cell>
          <cell r="E437" t="str">
            <v>ALL: 95%MODAL 5%ELASTANE</v>
          </cell>
          <cell r="F437" t="str">
            <v>VN</v>
          </cell>
          <cell r="H437">
            <v>10.67</v>
          </cell>
          <cell r="I437">
            <v>18</v>
          </cell>
          <cell r="J437">
            <v>192.06</v>
          </cell>
          <cell r="K437" t="str">
            <v>6114.30.1020</v>
          </cell>
          <cell r="L437" t="str">
            <v>6114.30.00.00.11</v>
          </cell>
        </row>
        <row r="438">
          <cell r="B438" t="str">
            <v>W3472R</v>
          </cell>
          <cell r="C438" t="str">
            <v>Women's Long Sleeve Tops</v>
          </cell>
          <cell r="D438" t="str">
            <v>White</v>
          </cell>
          <cell r="E438" t="str">
            <v>95%MODAL 5%ELASTANE</v>
          </cell>
          <cell r="F438" t="str">
            <v>VN</v>
          </cell>
          <cell r="H438">
            <v>9.83</v>
          </cell>
          <cell r="I438">
            <v>24</v>
          </cell>
          <cell r="J438">
            <v>235.92</v>
          </cell>
          <cell r="K438" t="str">
            <v>6114.30.1020</v>
          </cell>
          <cell r="L438" t="str">
            <v>6114.30.00.00.11</v>
          </cell>
        </row>
        <row r="439">
          <cell r="B439" t="str">
            <v>W3472R</v>
          </cell>
          <cell r="C439" t="str">
            <v>Women's Long Sleeve Tops</v>
          </cell>
          <cell r="D439" t="str">
            <v>Black</v>
          </cell>
          <cell r="E439" t="str">
            <v>95%MODAL 5%ELASTANE</v>
          </cell>
          <cell r="F439" t="str">
            <v>VN</v>
          </cell>
          <cell r="H439">
            <v>9.83</v>
          </cell>
          <cell r="I439">
            <v>24</v>
          </cell>
          <cell r="J439">
            <v>235.92</v>
          </cell>
          <cell r="K439" t="str">
            <v>6114.30.1020</v>
          </cell>
          <cell r="L439" t="str">
            <v>6114.30.00.00.11</v>
          </cell>
        </row>
        <row r="440">
          <cell r="B440" t="str">
            <v>W3775R</v>
          </cell>
          <cell r="C440" t="str">
            <v>Women's Long Sleeve Tops</v>
          </cell>
          <cell r="D440" t="str">
            <v>Black</v>
          </cell>
          <cell r="E440" t="str">
            <v>63%POLYESTER 34%RAYON 3%ELASTANE</v>
          </cell>
          <cell r="F440" t="str">
            <v>VN</v>
          </cell>
          <cell r="H440">
            <v>13.99</v>
          </cell>
          <cell r="I440">
            <v>12</v>
          </cell>
          <cell r="J440">
            <v>167.88</v>
          </cell>
          <cell r="K440" t="str">
            <v>6114.30.1020</v>
          </cell>
          <cell r="L440" t="str">
            <v>6114.30.00.00.11</v>
          </cell>
        </row>
        <row r="441">
          <cell r="B441" t="str">
            <v>W3775R</v>
          </cell>
          <cell r="C441" t="str">
            <v>Women's Long Sleeve Tops</v>
          </cell>
          <cell r="D441" t="str">
            <v>Athletic Heather Grey</v>
          </cell>
          <cell r="E441" t="str">
            <v>63%POLYESTER 34%RAYON 3%ELASTANE</v>
          </cell>
          <cell r="F441" t="str">
            <v>VN</v>
          </cell>
          <cell r="H441">
            <v>13.99</v>
          </cell>
          <cell r="I441">
            <v>12</v>
          </cell>
          <cell r="J441">
            <v>167.88</v>
          </cell>
          <cell r="K441" t="str">
            <v>6114.30.1020</v>
          </cell>
          <cell r="L441" t="str">
            <v>6114.30.00.00.11</v>
          </cell>
        </row>
        <row r="442">
          <cell r="B442" t="str">
            <v>W9587R</v>
          </cell>
          <cell r="C442" t="str">
            <v>Women's Tanks</v>
          </cell>
          <cell r="D442" t="str">
            <v>White</v>
          </cell>
          <cell r="E442" t="str">
            <v>SHELL: 87%NYLON 13%SPAN&gt;LAY...</v>
          </cell>
          <cell r="F442" t="str">
            <v>VN</v>
          </cell>
          <cell r="H442">
            <v>12.2</v>
          </cell>
          <cell r="I442">
            <v>31</v>
          </cell>
          <cell r="J442">
            <v>378.2</v>
          </cell>
          <cell r="K442" t="str">
            <v>6114.30.1020</v>
          </cell>
          <cell r="L442" t="str">
            <v>6114.30.00.00.11</v>
          </cell>
        </row>
        <row r="443">
          <cell r="B443" t="str">
            <v>W9587R</v>
          </cell>
          <cell r="C443" t="str">
            <v>Women's Tanks</v>
          </cell>
          <cell r="D443" t="str">
            <v>Black</v>
          </cell>
          <cell r="E443" t="str">
            <v>SHELL: 87%NYLON 13%SPAN&gt;LAY...</v>
          </cell>
          <cell r="F443" t="str">
            <v>VN</v>
          </cell>
          <cell r="H443">
            <v>12.2</v>
          </cell>
          <cell r="I443">
            <v>31</v>
          </cell>
          <cell r="J443">
            <v>378.2</v>
          </cell>
          <cell r="K443" t="str">
            <v>6114.30.1020</v>
          </cell>
          <cell r="L443" t="str">
            <v>6114.30.00.00.11</v>
          </cell>
        </row>
        <row r="444">
          <cell r="B444" t="str">
            <v>W9587R</v>
          </cell>
          <cell r="C444" t="str">
            <v>Women's Tanks</v>
          </cell>
          <cell r="D444" t="str">
            <v>Navy</v>
          </cell>
          <cell r="E444" t="str">
            <v>SHELL: 87%POLYESTER 13%SPAN&gt;...</v>
          </cell>
          <cell r="F444" t="str">
            <v>VN</v>
          </cell>
          <cell r="H444">
            <v>12.2</v>
          </cell>
          <cell r="I444">
            <v>24</v>
          </cell>
          <cell r="J444">
            <v>292.8</v>
          </cell>
          <cell r="K444" t="str">
            <v>6114.30.1020</v>
          </cell>
          <cell r="L444" t="str">
            <v>6114.30.00.00.11</v>
          </cell>
        </row>
        <row r="445">
          <cell r="B445" t="str">
            <v>W9730R</v>
          </cell>
          <cell r="C445" t="str">
            <v>Women's Tanks</v>
          </cell>
          <cell r="D445" t="str">
            <v>White</v>
          </cell>
          <cell r="E445" t="str">
            <v>97%NYLON 3%ELASTANE</v>
          </cell>
          <cell r="F445" t="str">
            <v>VN</v>
          </cell>
          <cell r="H445">
            <v>13.95</v>
          </cell>
          <cell r="I445">
            <v>24</v>
          </cell>
          <cell r="J445">
            <v>334.8</v>
          </cell>
          <cell r="K445" t="str">
            <v>6114.30.1020</v>
          </cell>
          <cell r="L445" t="str">
            <v>6114.30.00.00.11</v>
          </cell>
        </row>
        <row r="446">
          <cell r="B446" t="str">
            <v>W9760R</v>
          </cell>
          <cell r="C446" t="str">
            <v>Women's Undergarments</v>
          </cell>
          <cell r="D446" t="str">
            <v>Black</v>
          </cell>
          <cell r="E446" t="str">
            <v>84%NYLON 16%ELASTANE</v>
          </cell>
          <cell r="F446" t="str">
            <v>VN</v>
          </cell>
          <cell r="H446">
            <v>3.5</v>
          </cell>
          <cell r="I446">
            <v>26</v>
          </cell>
          <cell r="J446">
            <v>91</v>
          </cell>
          <cell r="K446" t="str">
            <v>6114.30.1020</v>
          </cell>
          <cell r="L446" t="str">
            <v>6114.30.00.00.11</v>
          </cell>
        </row>
        <row r="447">
          <cell r="B447" t="str">
            <v>W9760R</v>
          </cell>
          <cell r="C447" t="str">
            <v>Women's Undergarments</v>
          </cell>
          <cell r="D447" t="str">
            <v>Ivory</v>
          </cell>
          <cell r="E447" t="str">
            <v>84%NYLON 16%ELASTANE</v>
          </cell>
          <cell r="F447" t="str">
            <v>VN</v>
          </cell>
          <cell r="H447">
            <v>3.5</v>
          </cell>
          <cell r="I447">
            <v>26</v>
          </cell>
          <cell r="J447">
            <v>91</v>
          </cell>
          <cell r="K447" t="str">
            <v>6114.30.1020</v>
          </cell>
          <cell r="L447" t="str">
            <v>6114.30.00.00.11</v>
          </cell>
        </row>
        <row r="448">
          <cell r="B448" t="str">
            <v>W9776R</v>
          </cell>
          <cell r="C448" t="str">
            <v>Women's Tanks</v>
          </cell>
          <cell r="D448" t="str">
            <v>Steel Grey/Anthracite</v>
          </cell>
          <cell r="E448" t="str">
            <v>62%RAYON 38%POLYESTER&gt;EXCL...</v>
          </cell>
          <cell r="F448" t="str">
            <v>CN</v>
          </cell>
          <cell r="H448">
            <v>19.12</v>
          </cell>
          <cell r="I448">
            <v>9</v>
          </cell>
          <cell r="J448">
            <v>172.08</v>
          </cell>
          <cell r="K448" t="str">
            <v>6114.30.1020</v>
          </cell>
          <cell r="L448" t="str">
            <v>6114.30.00.00.11</v>
          </cell>
        </row>
        <row r="449">
          <cell r="B449" t="str">
            <v>W1406R</v>
          </cell>
          <cell r="C449" t="str">
            <v>Women's Short Sleeve Tops</v>
          </cell>
          <cell r="D449" t="str">
            <v>White</v>
          </cell>
          <cell r="E449" t="str">
            <v>94%POLYESTER 6%ELASTANE</v>
          </cell>
          <cell r="F449" t="str">
            <v>NI</v>
          </cell>
          <cell r="H449">
            <v>6.12</v>
          </cell>
          <cell r="I449">
            <v>24</v>
          </cell>
          <cell r="J449">
            <v>146.88</v>
          </cell>
          <cell r="K449" t="str">
            <v>6114.30.1020</v>
          </cell>
          <cell r="L449" t="str">
            <v>6114.30.00.00.11</v>
          </cell>
        </row>
        <row r="450">
          <cell r="B450" t="str">
            <v>W1406R</v>
          </cell>
          <cell r="C450" t="str">
            <v>Women's Short Sleeve Tops</v>
          </cell>
          <cell r="D450" t="str">
            <v>Black</v>
          </cell>
          <cell r="E450" t="str">
            <v>94%POLYESTER 6%ELASTANE</v>
          </cell>
          <cell r="F450" t="str">
            <v>NI</v>
          </cell>
          <cell r="H450">
            <v>6.12</v>
          </cell>
          <cell r="I450">
            <v>14</v>
          </cell>
          <cell r="J450">
            <v>85.68</v>
          </cell>
          <cell r="K450" t="str">
            <v>6114.30.1020</v>
          </cell>
          <cell r="L450" t="str">
            <v>6114.30.00.00.11</v>
          </cell>
        </row>
        <row r="451">
          <cell r="B451" t="str">
            <v>W3601R</v>
          </cell>
          <cell r="C451" t="str">
            <v>Women's Long Sleeve Tops</v>
          </cell>
          <cell r="D451" t="str">
            <v>White</v>
          </cell>
          <cell r="E451" t="str">
            <v>94%POLYESTER 6%ELASTANE</v>
          </cell>
          <cell r="F451" t="str">
            <v>NI</v>
          </cell>
          <cell r="H451">
            <v>7.97</v>
          </cell>
          <cell r="I451">
            <v>16</v>
          </cell>
          <cell r="J451">
            <v>127.52</v>
          </cell>
          <cell r="K451" t="str">
            <v>6114.30.1020</v>
          </cell>
          <cell r="L451" t="str">
            <v>6114.30.00.00.11</v>
          </cell>
        </row>
        <row r="452">
          <cell r="B452" t="str">
            <v>W3601R</v>
          </cell>
          <cell r="C452" t="str">
            <v>Women's Long Sleeve Tops</v>
          </cell>
          <cell r="D452" t="str">
            <v>Black</v>
          </cell>
          <cell r="E452" t="str">
            <v>94%POLYESTER 6%ELASTANE</v>
          </cell>
          <cell r="F452" t="str">
            <v>NI</v>
          </cell>
          <cell r="H452">
            <v>7.97</v>
          </cell>
          <cell r="I452">
            <v>16</v>
          </cell>
          <cell r="J452">
            <v>127.52</v>
          </cell>
          <cell r="K452" t="str">
            <v>6114.30.1020</v>
          </cell>
          <cell r="L452" t="str">
            <v>6114.30.00.00.11</v>
          </cell>
        </row>
        <row r="453">
          <cell r="B453" t="str">
            <v>W1406R</v>
          </cell>
          <cell r="C453" t="str">
            <v>Women's Short Sleeve Tops</v>
          </cell>
          <cell r="D453" t="str">
            <v>White</v>
          </cell>
          <cell r="E453" t="str">
            <v>94%POLYESTER 6%ELASTANE</v>
          </cell>
          <cell r="F453" t="str">
            <v>NI</v>
          </cell>
          <cell r="H453">
            <v>6.12</v>
          </cell>
          <cell r="I453">
            <v>29</v>
          </cell>
          <cell r="J453">
            <v>177.48</v>
          </cell>
          <cell r="K453" t="str">
            <v>6114.30.1020</v>
          </cell>
          <cell r="L453" t="str">
            <v>6114.30.00.00.11</v>
          </cell>
        </row>
        <row r="454">
          <cell r="B454" t="str">
            <v>W1406R</v>
          </cell>
          <cell r="C454" t="str">
            <v>Women's Short Sleeve Tops</v>
          </cell>
          <cell r="D454" t="str">
            <v>Black</v>
          </cell>
          <cell r="E454" t="str">
            <v>94%POLYESTER 6%ELASTANE</v>
          </cell>
          <cell r="F454" t="str">
            <v>NI</v>
          </cell>
          <cell r="H454">
            <v>6.12</v>
          </cell>
          <cell r="I454">
            <v>41</v>
          </cell>
          <cell r="J454">
            <v>250.92</v>
          </cell>
          <cell r="K454" t="str">
            <v>6114.30.1020</v>
          </cell>
          <cell r="L454" t="str">
            <v>6114.30.00.00.11</v>
          </cell>
        </row>
        <row r="455">
          <cell r="B455" t="str">
            <v>W3601R</v>
          </cell>
          <cell r="C455" t="str">
            <v>Women's Long Sleeve Tops</v>
          </cell>
          <cell r="D455" t="str">
            <v>White</v>
          </cell>
          <cell r="E455" t="str">
            <v>94%POLYESTER 6%ELASTANE</v>
          </cell>
          <cell r="F455" t="str">
            <v>NI</v>
          </cell>
          <cell r="H455">
            <v>7.97</v>
          </cell>
          <cell r="I455">
            <v>47</v>
          </cell>
          <cell r="J455">
            <v>374.59</v>
          </cell>
          <cell r="K455" t="str">
            <v>6114.30.1020</v>
          </cell>
          <cell r="L455" t="str">
            <v>6114.30.00.00.11</v>
          </cell>
        </row>
        <row r="456">
          <cell r="B456" t="str">
            <v>W3601R</v>
          </cell>
          <cell r="C456" t="str">
            <v>Women's Long Sleeve Tops</v>
          </cell>
          <cell r="D456" t="str">
            <v>Black</v>
          </cell>
          <cell r="E456" t="str">
            <v>94%POLYESTER 6%ELASTANE</v>
          </cell>
          <cell r="F456" t="str">
            <v>NI</v>
          </cell>
          <cell r="H456">
            <v>7.97</v>
          </cell>
          <cell r="I456">
            <v>71</v>
          </cell>
          <cell r="J456">
            <v>565.87</v>
          </cell>
          <cell r="K456" t="str">
            <v>6114.30.1020</v>
          </cell>
          <cell r="L456" t="str">
            <v>6114.30.00.00.11</v>
          </cell>
        </row>
        <row r="457">
          <cell r="B457" t="str">
            <v>W8137R</v>
          </cell>
          <cell r="C457" t="str">
            <v>Women's One-Pieces</v>
          </cell>
          <cell r="D457" t="str">
            <v>Black</v>
          </cell>
          <cell r="E457" t="str">
            <v>BODY: 87%POLYESTER 13%ELAST...</v>
          </cell>
          <cell r="F457" t="str">
            <v>CN</v>
          </cell>
          <cell r="H457">
            <v>13.27</v>
          </cell>
          <cell r="I457">
            <v>18</v>
          </cell>
          <cell r="J457">
            <v>238.86</v>
          </cell>
          <cell r="K457" t="str">
            <v>6114.30.3030</v>
          </cell>
          <cell r="L457" t="str">
            <v>6114.30.00.00.11</v>
          </cell>
        </row>
        <row r="458">
          <cell r="B458" t="str">
            <v>W8148R</v>
          </cell>
          <cell r="C458" t="str">
            <v>Women's One-Pieces</v>
          </cell>
          <cell r="D458" t="str">
            <v>Black</v>
          </cell>
          <cell r="E458" t="str">
            <v>77%POLYESTER 23%ELASTANE</v>
          </cell>
          <cell r="F458" t="str">
            <v>VN</v>
          </cell>
          <cell r="H458">
            <v>20.55</v>
          </cell>
          <cell r="I458">
            <v>10</v>
          </cell>
          <cell r="J458">
            <v>205.5</v>
          </cell>
          <cell r="K458" t="str">
            <v>6114.30.3054</v>
          </cell>
          <cell r="L458" t="str">
            <v>6114.30.00.00.11</v>
          </cell>
        </row>
        <row r="459">
          <cell r="B459" t="str">
            <v>W8148R</v>
          </cell>
          <cell r="C459" t="str">
            <v>Women's One-Pieces</v>
          </cell>
          <cell r="D459" t="str">
            <v>Navy</v>
          </cell>
          <cell r="E459" t="str">
            <v>77%POLYESTER 23%ELASTANE</v>
          </cell>
          <cell r="F459" t="str">
            <v>VN</v>
          </cell>
          <cell r="H459">
            <v>20.55</v>
          </cell>
          <cell r="I459">
            <v>8</v>
          </cell>
          <cell r="J459">
            <v>164.4</v>
          </cell>
          <cell r="K459" t="str">
            <v>6114.30.3054</v>
          </cell>
          <cell r="L459" t="str">
            <v>6114.30.00.00.11</v>
          </cell>
        </row>
        <row r="460">
          <cell r="B460" t="str">
            <v>W8295R</v>
          </cell>
          <cell r="C460" t="str">
            <v>Women's One-Pieces</v>
          </cell>
          <cell r="D460" t="str">
            <v>Espresso</v>
          </cell>
          <cell r="E460" t="str">
            <v>81%POLYESTER 19%ELASTANE</v>
          </cell>
          <cell r="F460" t="str">
            <v>VN</v>
          </cell>
          <cell r="H460">
            <v>21.93</v>
          </cell>
          <cell r="I460">
            <v>10</v>
          </cell>
          <cell r="J460">
            <v>219.3</v>
          </cell>
          <cell r="K460" t="str">
            <v>6114.30.3054</v>
          </cell>
          <cell r="L460" t="str">
            <v>6114.30.00.00.11</v>
          </cell>
        </row>
        <row r="461">
          <cell r="B461" t="str">
            <v>W8295R</v>
          </cell>
          <cell r="C461" t="str">
            <v>Women's One-Pieces</v>
          </cell>
          <cell r="D461" t="str">
            <v>Steel Grey</v>
          </cell>
          <cell r="E461" t="str">
            <v>81%POLYESTER 19%ELASTANE</v>
          </cell>
          <cell r="F461" t="str">
            <v>VN</v>
          </cell>
          <cell r="H461">
            <v>21.93</v>
          </cell>
          <cell r="I461">
            <v>10</v>
          </cell>
          <cell r="J461">
            <v>219.3</v>
          </cell>
          <cell r="K461" t="str">
            <v>6114.30.3054</v>
          </cell>
          <cell r="L461" t="str">
            <v>6114.30.00.00.11</v>
          </cell>
        </row>
        <row r="462">
          <cell r="B462" t="str">
            <v>W8295R</v>
          </cell>
          <cell r="C462" t="str">
            <v>Women's One-Pieces</v>
          </cell>
          <cell r="D462" t="str">
            <v>Espresso</v>
          </cell>
          <cell r="E462" t="str">
            <v>81%POLYESTER 19%ELASTANE</v>
          </cell>
          <cell r="F462" t="str">
            <v>VN</v>
          </cell>
          <cell r="H462">
            <v>21.65</v>
          </cell>
          <cell r="I462">
            <v>21</v>
          </cell>
          <cell r="J462">
            <v>454.65</v>
          </cell>
          <cell r="K462" t="str">
            <v>6114.30.3054</v>
          </cell>
          <cell r="L462" t="str">
            <v>6114.30.00.00.11</v>
          </cell>
        </row>
        <row r="463">
          <cell r="B463" t="str">
            <v>W1445R</v>
          </cell>
          <cell r="C463" t="str">
            <v>Women's Short Sleeve Tops</v>
          </cell>
          <cell r="D463" t="str">
            <v>Black</v>
          </cell>
          <cell r="E463" t="str">
            <v>58%VISCOSE 31%POLYESTER 11%ELASTANE</v>
          </cell>
          <cell r="F463" t="str">
            <v>VN</v>
          </cell>
          <cell r="H463">
            <v>5.81</v>
          </cell>
          <cell r="I463">
            <v>18</v>
          </cell>
          <cell r="J463">
            <v>104.58</v>
          </cell>
          <cell r="K463" t="str">
            <v>6114.90.9010</v>
          </cell>
          <cell r="L463" t="str">
            <v>6114.90.00.00.00</v>
          </cell>
        </row>
        <row r="464">
          <cell r="B464" t="str">
            <v>W1445R</v>
          </cell>
          <cell r="C464" t="str">
            <v>Women's Short Sleeve Tops</v>
          </cell>
          <cell r="D464" t="str">
            <v>Ivory</v>
          </cell>
          <cell r="E464" t="str">
            <v>58%VISCOSE 31%POLYESTER 11%ELASTANE</v>
          </cell>
          <cell r="F464" t="str">
            <v>VN</v>
          </cell>
          <cell r="H464">
            <v>5.81</v>
          </cell>
          <cell r="I464">
            <v>18</v>
          </cell>
          <cell r="J464">
            <v>104.58</v>
          </cell>
          <cell r="K464" t="str">
            <v>6114.90.9010</v>
          </cell>
          <cell r="L464" t="str">
            <v>6114.90.00.00.00</v>
          </cell>
        </row>
        <row r="465">
          <cell r="B465" t="str">
            <v>W1449R</v>
          </cell>
          <cell r="C465" t="str">
            <v>Women's Short Sleeve Tops</v>
          </cell>
          <cell r="D465" t="str">
            <v>Black</v>
          </cell>
          <cell r="E465" t="str">
            <v>58%VISCOSE 31%POLYESTER 11%ELASTANE</v>
          </cell>
          <cell r="F465" t="str">
            <v>VN</v>
          </cell>
          <cell r="H465">
            <v>7.96</v>
          </cell>
          <cell r="I465">
            <v>24</v>
          </cell>
          <cell r="J465">
            <v>191.04</v>
          </cell>
          <cell r="K465" t="str">
            <v>6114.90.9010</v>
          </cell>
          <cell r="L465" t="str">
            <v>6114.90.00.00.00</v>
          </cell>
        </row>
        <row r="466">
          <cell r="B466" t="str">
            <v>W1449R</v>
          </cell>
          <cell r="C466" t="str">
            <v>Women's Short Sleeve Tops</v>
          </cell>
          <cell r="D466" t="str">
            <v>Ivory</v>
          </cell>
          <cell r="E466" t="str">
            <v>58%VISCOSE 31%POLYESTER 11%ELASTANE</v>
          </cell>
          <cell r="F466" t="str">
            <v>VN</v>
          </cell>
          <cell r="H466">
            <v>7.96</v>
          </cell>
          <cell r="I466">
            <v>24</v>
          </cell>
          <cell r="J466">
            <v>191.04</v>
          </cell>
          <cell r="K466" t="str">
            <v>6114.90.9010</v>
          </cell>
          <cell r="L466" t="str">
            <v>6114.90.00.00.00</v>
          </cell>
        </row>
        <row r="467">
          <cell r="B467" t="str">
            <v>W1449R</v>
          </cell>
          <cell r="C467" t="str">
            <v>Women's Short Sleeve Tops</v>
          </cell>
          <cell r="D467" t="str">
            <v>Navy</v>
          </cell>
          <cell r="E467" t="str">
            <v>58%VISCOSE 31%POLYESTER 11%ELASTANE</v>
          </cell>
          <cell r="F467" t="str">
            <v>VN</v>
          </cell>
          <cell r="H467">
            <v>7.96</v>
          </cell>
          <cell r="I467">
            <v>19</v>
          </cell>
          <cell r="J467">
            <v>151.24</v>
          </cell>
          <cell r="K467" t="str">
            <v>6114.90.9010</v>
          </cell>
          <cell r="L467" t="str">
            <v>6114.90.00.00.00</v>
          </cell>
        </row>
        <row r="468">
          <cell r="B468" t="str">
            <v>A0009M</v>
          </cell>
          <cell r="C468" t="str">
            <v>Accessory - Socks</v>
          </cell>
          <cell r="D468" t="str">
            <v>White/Black</v>
          </cell>
          <cell r="E468" t="str">
            <v>83%COTTON 14%POLYESTER 2%E...</v>
          </cell>
          <cell r="F468" t="str">
            <v>CN</v>
          </cell>
          <cell r="H468">
            <v>1.52</v>
          </cell>
          <cell r="I468">
            <v>50</v>
          </cell>
          <cell r="J468">
            <v>76</v>
          </cell>
          <cell r="K468" t="str">
            <v>6115.95.9000</v>
          </cell>
          <cell r="L468" t="str">
            <v>6115.95.00.00.00</v>
          </cell>
        </row>
        <row r="469">
          <cell r="B469" t="str">
            <v>A0009M</v>
          </cell>
          <cell r="C469" t="str">
            <v>Accessory - Socks</v>
          </cell>
          <cell r="D469" t="str">
            <v>Black/White</v>
          </cell>
          <cell r="E469" t="str">
            <v>83%COTTON 14%POLYESTER 2%E...</v>
          </cell>
          <cell r="F469" t="str">
            <v>CN</v>
          </cell>
          <cell r="H469">
            <v>1.52</v>
          </cell>
          <cell r="I469">
            <v>50</v>
          </cell>
          <cell r="J469">
            <v>76</v>
          </cell>
          <cell r="K469" t="str">
            <v>6115.95.9000</v>
          </cell>
          <cell r="L469" t="str">
            <v>6115.95.00.00.00</v>
          </cell>
        </row>
        <row r="470">
          <cell r="B470" t="str">
            <v>A0357U</v>
          </cell>
          <cell r="C470" t="str">
            <v>Accessory - Socks</v>
          </cell>
          <cell r="D470" t="str">
            <v>Eclipse Blue/White</v>
          </cell>
          <cell r="E470" t="str">
            <v>85%COTTON 7%POLYESTER 6%NY...</v>
          </cell>
          <cell r="F470" t="str">
            <v>CN</v>
          </cell>
          <cell r="H470">
            <v>3.09</v>
          </cell>
          <cell r="I470">
            <v>30</v>
          </cell>
          <cell r="J470">
            <v>92.7</v>
          </cell>
          <cell r="K470" t="str">
            <v>6115.95.9000</v>
          </cell>
          <cell r="L470" t="str">
            <v>6115.95.00.00.00</v>
          </cell>
        </row>
        <row r="471">
          <cell r="B471" t="str">
            <v>A0046W</v>
          </cell>
          <cell r="C471" t="str">
            <v>Accessory - Socks</v>
          </cell>
          <cell r="D471" t="str">
            <v>White/Black</v>
          </cell>
          <cell r="E471" t="str">
            <v>95%POLYESTER 2%ELASTODIENE ...</v>
          </cell>
          <cell r="F471" t="str">
            <v>CN</v>
          </cell>
          <cell r="H471">
            <v>1.1299999999999999</v>
          </cell>
          <cell r="I471">
            <v>50</v>
          </cell>
          <cell r="J471">
            <v>56.5</v>
          </cell>
          <cell r="K471" t="str">
            <v>6115.96.9020</v>
          </cell>
          <cell r="L471" t="str">
            <v>6115.96.91.00.00</v>
          </cell>
        </row>
        <row r="472">
          <cell r="B472" t="str">
            <v>A0046W</v>
          </cell>
          <cell r="C472" t="str">
            <v>Accessory - Socks</v>
          </cell>
          <cell r="D472" t="str">
            <v>Black/White</v>
          </cell>
          <cell r="E472" t="str">
            <v>95%POLYESTER 2%ELASTODIENE ...</v>
          </cell>
          <cell r="F472" t="str">
            <v>CN</v>
          </cell>
          <cell r="H472">
            <v>1.1299999999999999</v>
          </cell>
          <cell r="I472">
            <v>50</v>
          </cell>
          <cell r="J472">
            <v>56.5</v>
          </cell>
          <cell r="K472" t="str">
            <v>6115.96.9020</v>
          </cell>
          <cell r="L472" t="str">
            <v>6115.96.91.00.00</v>
          </cell>
        </row>
        <row r="473">
          <cell r="B473" t="str">
            <v>A0068M</v>
          </cell>
          <cell r="C473" t="str">
            <v>Accessory - Socks</v>
          </cell>
          <cell r="D473" t="str">
            <v>White/Dove Grey</v>
          </cell>
          <cell r="E473" t="str">
            <v>51%POLYESTER 43%NYLON 6%ELASTANE</v>
          </cell>
          <cell r="F473" t="str">
            <v>CN</v>
          </cell>
          <cell r="H473">
            <v>2.58</v>
          </cell>
          <cell r="I473">
            <v>30</v>
          </cell>
          <cell r="J473">
            <v>77.400000000000006</v>
          </cell>
          <cell r="K473" t="str">
            <v>6115.96.9020</v>
          </cell>
          <cell r="L473" t="str">
            <v>6115.96.91.00.00</v>
          </cell>
        </row>
        <row r="474">
          <cell r="B474" t="str">
            <v>A0068M</v>
          </cell>
          <cell r="C474" t="str">
            <v>Accessory - Socks</v>
          </cell>
          <cell r="D474" t="str">
            <v>Black/Dove Grey</v>
          </cell>
          <cell r="E474" t="str">
            <v>51%POLYESTER 43%NYLON 6%ELASTANE</v>
          </cell>
          <cell r="F474" t="str">
            <v>CN</v>
          </cell>
          <cell r="H474">
            <v>2.58</v>
          </cell>
          <cell r="I474">
            <v>30</v>
          </cell>
          <cell r="J474">
            <v>77.400000000000006</v>
          </cell>
          <cell r="K474" t="str">
            <v>6115.96.9020</v>
          </cell>
          <cell r="L474" t="str">
            <v>6115.96.91.00.00</v>
          </cell>
        </row>
        <row r="475">
          <cell r="B475" t="str">
            <v>A0094W</v>
          </cell>
          <cell r="C475" t="str">
            <v>Accessory - Socks</v>
          </cell>
          <cell r="D475" t="str">
            <v>Black</v>
          </cell>
          <cell r="E475" t="str">
            <v>85%NYLON 13%POLYESTER 2%EL...</v>
          </cell>
          <cell r="F475" t="str">
            <v>CN</v>
          </cell>
          <cell r="H475">
            <v>2.58</v>
          </cell>
          <cell r="I475">
            <v>27</v>
          </cell>
          <cell r="J475">
            <v>69.66</v>
          </cell>
          <cell r="K475" t="str">
            <v>6115.96.9020</v>
          </cell>
          <cell r="L475" t="str">
            <v>6115.96.91.00.00</v>
          </cell>
        </row>
        <row r="476">
          <cell r="B476" t="str">
            <v>A0094W</v>
          </cell>
          <cell r="C476" t="str">
            <v>Accessory - Socks</v>
          </cell>
          <cell r="D476" t="str">
            <v>Pale Mauve</v>
          </cell>
          <cell r="E476" t="str">
            <v>85%NYLON 13%POLYESTER 2%EL...</v>
          </cell>
          <cell r="F476" t="str">
            <v>CN</v>
          </cell>
          <cell r="H476">
            <v>2.58</v>
          </cell>
          <cell r="I476">
            <v>27</v>
          </cell>
          <cell r="J476">
            <v>69.66</v>
          </cell>
          <cell r="K476" t="str">
            <v>6115.96.9020</v>
          </cell>
          <cell r="L476" t="str">
            <v>6115.96.91.00.00</v>
          </cell>
        </row>
        <row r="477">
          <cell r="B477" t="str">
            <v>A0357U</v>
          </cell>
          <cell r="C477" t="str">
            <v>Accessory - Socks</v>
          </cell>
          <cell r="D477" t="str">
            <v>White/Black</v>
          </cell>
          <cell r="E477" t="str">
            <v>85% COTTON 14%NYLON 1%ELAST...</v>
          </cell>
          <cell r="F477" t="str">
            <v>TW</v>
          </cell>
          <cell r="H477">
            <v>3.09</v>
          </cell>
          <cell r="I477">
            <v>230</v>
          </cell>
          <cell r="J477">
            <v>710.7</v>
          </cell>
          <cell r="K477" t="str">
            <v>6115.96.9020</v>
          </cell>
          <cell r="L477" t="str">
            <v>6115.96.91.00.00</v>
          </cell>
        </row>
        <row r="478">
          <cell r="B478" t="str">
            <v>A0357U</v>
          </cell>
          <cell r="C478" t="str">
            <v>Accessory - Socks</v>
          </cell>
          <cell r="D478" t="str">
            <v>Black/White</v>
          </cell>
          <cell r="E478" t="str">
            <v>85% COTTON 14%NYLON 1%ELAST...</v>
          </cell>
          <cell r="F478" t="str">
            <v>TW</v>
          </cell>
          <cell r="H478">
            <v>3.09</v>
          </cell>
          <cell r="I478">
            <v>230</v>
          </cell>
          <cell r="J478">
            <v>710.7</v>
          </cell>
          <cell r="K478" t="str">
            <v>6115.96.9020</v>
          </cell>
          <cell r="L478" t="str">
            <v>6115.96.91.00.00</v>
          </cell>
        </row>
        <row r="479">
          <cell r="B479" t="str">
            <v>A0357U</v>
          </cell>
          <cell r="C479" t="str">
            <v>Accessory - Socks</v>
          </cell>
          <cell r="D479" t="str">
            <v>Gravel/White</v>
          </cell>
          <cell r="E479" t="str">
            <v>85% COTTON 14%NYLON 1%ELAST...</v>
          </cell>
          <cell r="F479" t="str">
            <v>TW</v>
          </cell>
          <cell r="H479">
            <v>3.09</v>
          </cell>
          <cell r="I479">
            <v>40</v>
          </cell>
          <cell r="J479">
            <v>123.6</v>
          </cell>
          <cell r="K479" t="str">
            <v>6115.96.9020</v>
          </cell>
          <cell r="L479" t="str">
            <v>6115.96.91.00.00</v>
          </cell>
        </row>
        <row r="480">
          <cell r="B480" t="str">
            <v>A0357U</v>
          </cell>
          <cell r="C480" t="str">
            <v>Accessory - Socks</v>
          </cell>
          <cell r="D480" t="str">
            <v>Athletic Heather Grey/White</v>
          </cell>
          <cell r="E480" t="str">
            <v>85% COTTON 14%NYLON 1%ELAST...</v>
          </cell>
          <cell r="F480" t="str">
            <v>TW</v>
          </cell>
          <cell r="H480">
            <v>3.09</v>
          </cell>
          <cell r="I480">
            <v>90</v>
          </cell>
          <cell r="J480">
            <v>278.10000000000002</v>
          </cell>
          <cell r="K480" t="str">
            <v>6115.96.9020</v>
          </cell>
          <cell r="L480" t="str">
            <v>6115.96.91.00.00</v>
          </cell>
        </row>
        <row r="481">
          <cell r="B481" t="str">
            <v>A0357U</v>
          </cell>
          <cell r="C481" t="str">
            <v>Accessory - Socks</v>
          </cell>
          <cell r="D481" t="str">
            <v>Espresso/Bone</v>
          </cell>
          <cell r="E481" t="str">
            <v>85%COTTON 7%POLYESTER 6%NY...</v>
          </cell>
          <cell r="F481" t="str">
            <v>TW</v>
          </cell>
          <cell r="H481">
            <v>3.09</v>
          </cell>
          <cell r="I481">
            <v>75</v>
          </cell>
          <cell r="J481">
            <v>231.75</v>
          </cell>
          <cell r="K481" t="str">
            <v>6115.96.9020</v>
          </cell>
          <cell r="L481" t="str">
            <v>6115.96.91.00.00</v>
          </cell>
        </row>
        <row r="482">
          <cell r="B482" t="str">
            <v>A0480U</v>
          </cell>
          <cell r="C482" t="str">
            <v>Accessory - Socks</v>
          </cell>
          <cell r="D482" t="str">
            <v>White/Black</v>
          </cell>
          <cell r="E482" t="str">
            <v>85% COTTON 14%NYLON 1%ELAST...</v>
          </cell>
          <cell r="F482" t="str">
            <v>TW</v>
          </cell>
          <cell r="H482">
            <v>2.79</v>
          </cell>
          <cell r="I482">
            <v>230</v>
          </cell>
          <cell r="J482">
            <v>641.70000000000005</v>
          </cell>
          <cell r="K482" t="str">
            <v>6115.96.9020</v>
          </cell>
          <cell r="L482" t="str">
            <v>6115.96.91.00.00</v>
          </cell>
        </row>
        <row r="483">
          <cell r="B483" t="str">
            <v>A0480U</v>
          </cell>
          <cell r="C483" t="str">
            <v>Accessory - Socks</v>
          </cell>
          <cell r="D483" t="str">
            <v>Black/White</v>
          </cell>
          <cell r="E483" t="str">
            <v>85% COTTON 14%NYLON 1%ELAST...</v>
          </cell>
          <cell r="F483" t="str">
            <v>TW</v>
          </cell>
          <cell r="H483">
            <v>2.79</v>
          </cell>
          <cell r="I483">
            <v>230</v>
          </cell>
          <cell r="J483">
            <v>641.70000000000005</v>
          </cell>
          <cell r="K483" t="str">
            <v>6115.96.9020</v>
          </cell>
          <cell r="L483" t="str">
            <v>6115.96.91.00.00</v>
          </cell>
        </row>
        <row r="484">
          <cell r="B484" t="str">
            <v>A0480U</v>
          </cell>
          <cell r="C484" t="str">
            <v>Accessory - Socks</v>
          </cell>
          <cell r="D484" t="str">
            <v>Gravel/White</v>
          </cell>
          <cell r="E484" t="str">
            <v>85% COTTON 14%NYLON 1%ELAST...</v>
          </cell>
          <cell r="F484" t="str">
            <v>TW</v>
          </cell>
          <cell r="H484">
            <v>2.79</v>
          </cell>
          <cell r="I484">
            <v>30</v>
          </cell>
          <cell r="J484">
            <v>83.7</v>
          </cell>
          <cell r="K484" t="str">
            <v>6115.96.9020</v>
          </cell>
          <cell r="L484" t="str">
            <v>6115.96.91.00.00</v>
          </cell>
        </row>
        <row r="485">
          <cell r="B485" t="str">
            <v>A0480U</v>
          </cell>
          <cell r="C485" t="str">
            <v>Accessory - Socks</v>
          </cell>
          <cell r="D485" t="str">
            <v>Athletic Heather Grey/White</v>
          </cell>
          <cell r="E485" t="str">
            <v>85% COTTON 14%NYLON 1%ELAST...</v>
          </cell>
          <cell r="F485" t="str">
            <v>TW</v>
          </cell>
          <cell r="H485">
            <v>2.79</v>
          </cell>
          <cell r="I485">
            <v>80</v>
          </cell>
          <cell r="J485">
            <v>223.2</v>
          </cell>
          <cell r="K485" t="str">
            <v>6115.96.9020</v>
          </cell>
          <cell r="L485" t="str">
            <v>6115.96.91.00.00</v>
          </cell>
        </row>
        <row r="486">
          <cell r="B486" t="str">
            <v>A0693U</v>
          </cell>
          <cell r="C486" t="str">
            <v>Accessory - Socks</v>
          </cell>
          <cell r="D486" t="str">
            <v>White</v>
          </cell>
          <cell r="E486" t="str">
            <v>55%POLYESTER 39%NYLON 6%EL...</v>
          </cell>
          <cell r="F486" t="str">
            <v>CN</v>
          </cell>
          <cell r="H486">
            <v>3.5</v>
          </cell>
          <cell r="I486">
            <v>20</v>
          </cell>
          <cell r="J486">
            <v>70</v>
          </cell>
          <cell r="K486" t="str">
            <v>6115.96.9020</v>
          </cell>
          <cell r="L486" t="str">
            <v>6115.96.91.00.00</v>
          </cell>
        </row>
        <row r="487">
          <cell r="B487" t="str">
            <v>A0693U</v>
          </cell>
          <cell r="C487" t="str">
            <v>Accessory - Socks</v>
          </cell>
          <cell r="D487" t="str">
            <v>Black</v>
          </cell>
          <cell r="E487" t="str">
            <v>55%POLYESTER 39%NYLON 6%EL...</v>
          </cell>
          <cell r="F487" t="str">
            <v>CN</v>
          </cell>
          <cell r="H487">
            <v>3.5</v>
          </cell>
          <cell r="I487">
            <v>20</v>
          </cell>
          <cell r="J487">
            <v>70</v>
          </cell>
          <cell r="K487" t="str">
            <v>6115.96.9020</v>
          </cell>
          <cell r="L487" t="str">
            <v>6115.96.91.00.00</v>
          </cell>
        </row>
        <row r="488">
          <cell r="B488" t="str">
            <v>A0046W</v>
          </cell>
          <cell r="C488" t="str">
            <v>Accessory - Socks</v>
          </cell>
          <cell r="D488" t="str">
            <v>Athletic Heather Grey/Black</v>
          </cell>
          <cell r="E488" t="str">
            <v>96%POLYESTER 2%ELASTANE 1%...</v>
          </cell>
          <cell r="F488" t="str">
            <v>CN</v>
          </cell>
          <cell r="H488">
            <v>1.47</v>
          </cell>
          <cell r="I488">
            <v>1</v>
          </cell>
          <cell r="J488">
            <v>1.47</v>
          </cell>
          <cell r="K488" t="str">
            <v>6115.96.9020</v>
          </cell>
          <cell r="L488" t="str">
            <v>6115.96.91.00.00</v>
          </cell>
        </row>
        <row r="489">
          <cell r="B489" t="str">
            <v>A0382W</v>
          </cell>
          <cell r="C489" t="str">
            <v>Accessory - Cold Weather</v>
          </cell>
          <cell r="D489" t="str">
            <v>Black</v>
          </cell>
          <cell r="E489" t="str">
            <v>FAUX FUR &amp; LINING: 100%POLYES...</v>
          </cell>
          <cell r="F489" t="str">
            <v>CN</v>
          </cell>
          <cell r="H489">
            <v>10.18</v>
          </cell>
          <cell r="I489">
            <v>8</v>
          </cell>
          <cell r="J489">
            <v>81.44</v>
          </cell>
          <cell r="K489" t="str">
            <v>6116.93.8800</v>
          </cell>
          <cell r="L489" t="str">
            <v>6116.93.00.00.00</v>
          </cell>
        </row>
        <row r="490">
          <cell r="B490" t="str">
            <v>W3858R</v>
          </cell>
          <cell r="C490" t="str">
            <v>Women's Cover Ups</v>
          </cell>
          <cell r="D490" t="str">
            <v>Steel Grey/Anthracite</v>
          </cell>
          <cell r="E490" t="str">
            <v>62%RAYON 38%POLYESTER&gt;EXCL...</v>
          </cell>
          <cell r="F490" t="str">
            <v>CN</v>
          </cell>
          <cell r="H490">
            <v>28.42</v>
          </cell>
          <cell r="I490">
            <v>8</v>
          </cell>
          <cell r="J490">
            <v>227.36</v>
          </cell>
          <cell r="K490" t="str">
            <v>6117.10.2030</v>
          </cell>
          <cell r="L490" t="str">
            <v>6117.10.00.00.00</v>
          </cell>
        </row>
        <row r="491">
          <cell r="B491" t="str">
            <v>A0054U</v>
          </cell>
          <cell r="C491" t="str">
            <v>Accessory - Hair Management</v>
          </cell>
          <cell r="D491" t="str">
            <v>Black</v>
          </cell>
          <cell r="E491" t="str">
            <v>77%POLYESTER 23%ELASTANE</v>
          </cell>
          <cell r="F491" t="str">
            <v>CN</v>
          </cell>
          <cell r="H491">
            <v>3.61</v>
          </cell>
          <cell r="I491">
            <v>25</v>
          </cell>
          <cell r="J491">
            <v>90.25</v>
          </cell>
          <cell r="K491" t="str">
            <v>6117.80.8500</v>
          </cell>
          <cell r="L491" t="str">
            <v>6117.80.80.00.00</v>
          </cell>
        </row>
        <row r="492">
          <cell r="B492" t="str">
            <v>A0054U</v>
          </cell>
          <cell r="C492" t="str">
            <v>Accessory - Hair Management</v>
          </cell>
          <cell r="D492" t="str">
            <v>Espresso</v>
          </cell>
          <cell r="E492" t="str">
            <v>77%POLYESTER 23%ELASTANE</v>
          </cell>
          <cell r="F492" t="str">
            <v>VN</v>
          </cell>
          <cell r="H492">
            <v>3.61</v>
          </cell>
          <cell r="I492">
            <v>15</v>
          </cell>
          <cell r="J492">
            <v>54.15</v>
          </cell>
          <cell r="K492" t="str">
            <v>6117.80.8500</v>
          </cell>
          <cell r="L492" t="str">
            <v>6117.80.80.00.00</v>
          </cell>
        </row>
        <row r="493">
          <cell r="B493" t="str">
            <v>A0370U</v>
          </cell>
          <cell r="C493" t="str">
            <v>Accessory - Hair Management</v>
          </cell>
          <cell r="D493" t="str">
            <v>White</v>
          </cell>
          <cell r="E493" t="str">
            <v>94%POLYESTER 6%ELASTANE&gt;EX...</v>
          </cell>
          <cell r="F493" t="str">
            <v>VN</v>
          </cell>
          <cell r="H493">
            <v>3.58</v>
          </cell>
          <cell r="I493">
            <v>10</v>
          </cell>
          <cell r="J493">
            <v>35.799999999999997</v>
          </cell>
          <cell r="K493" t="str">
            <v>6117.80.8500</v>
          </cell>
          <cell r="L493" t="str">
            <v>6117.80.80.00.00</v>
          </cell>
        </row>
        <row r="494">
          <cell r="B494" t="str">
            <v>A0370U</v>
          </cell>
          <cell r="C494" t="str">
            <v>Accessory - Hair Management</v>
          </cell>
          <cell r="D494" t="str">
            <v>Black</v>
          </cell>
          <cell r="E494" t="str">
            <v>94%POLYESTER 6%ELASTANE&gt;EX...</v>
          </cell>
          <cell r="F494" t="str">
            <v>VN</v>
          </cell>
          <cell r="H494">
            <v>3.58</v>
          </cell>
          <cell r="I494">
            <v>10</v>
          </cell>
          <cell r="J494">
            <v>35.799999999999997</v>
          </cell>
          <cell r="K494" t="str">
            <v>6117.80.8500</v>
          </cell>
          <cell r="L494" t="str">
            <v>6117.80.80.00.00</v>
          </cell>
        </row>
        <row r="495">
          <cell r="B495" t="str">
            <v>A0397U</v>
          </cell>
          <cell r="C495" t="str">
            <v>Accessory - Cold Weather</v>
          </cell>
          <cell r="D495" t="str">
            <v>Black</v>
          </cell>
          <cell r="E495" t="str">
            <v>FAUX FUR SHELL &amp; LINING: 100%P...</v>
          </cell>
          <cell r="F495" t="str">
            <v>CN</v>
          </cell>
          <cell r="H495">
            <v>9.4600000000000009</v>
          </cell>
          <cell r="I495">
            <v>16</v>
          </cell>
          <cell r="J495">
            <v>151.36000000000001</v>
          </cell>
          <cell r="K495" t="str">
            <v>6117.80.8500</v>
          </cell>
          <cell r="L495" t="str">
            <v>6117.80.80.00.00</v>
          </cell>
        </row>
        <row r="496">
          <cell r="B496" t="str">
            <v>A0397U</v>
          </cell>
          <cell r="C496" t="str">
            <v>Accessory - Cold Weather</v>
          </cell>
          <cell r="D496" t="str">
            <v>Ivory</v>
          </cell>
          <cell r="E496" t="str">
            <v>FAUX FUR SHELL &amp; LINING: 100%P...</v>
          </cell>
          <cell r="F496" t="str">
            <v>CN</v>
          </cell>
          <cell r="H496">
            <v>9.4600000000000009</v>
          </cell>
          <cell r="I496">
            <v>16</v>
          </cell>
          <cell r="J496">
            <v>151.36000000000001</v>
          </cell>
          <cell r="K496" t="str">
            <v>6117.80.8500</v>
          </cell>
          <cell r="L496" t="str">
            <v>6117.80.80.00.00</v>
          </cell>
        </row>
        <row r="497">
          <cell r="B497" t="str">
            <v>A0397U</v>
          </cell>
          <cell r="C497" t="str">
            <v>Accessory - Cold Weather</v>
          </cell>
          <cell r="D497" t="str">
            <v>Toasted Almond</v>
          </cell>
          <cell r="E497" t="str">
            <v>SHELL &amp; LINING: 100%POLYESTER...</v>
          </cell>
          <cell r="F497" t="str">
            <v>CN</v>
          </cell>
          <cell r="H497">
            <v>10.52</v>
          </cell>
          <cell r="I497">
            <v>8</v>
          </cell>
          <cell r="J497">
            <v>84.16</v>
          </cell>
          <cell r="K497" t="str">
            <v>6117.80.8500</v>
          </cell>
          <cell r="L497" t="str">
            <v>6117.80.80.00.00</v>
          </cell>
        </row>
        <row r="498">
          <cell r="B498" t="str">
            <v>A0484U</v>
          </cell>
          <cell r="C498" t="str">
            <v>Accessory - Cold Weather</v>
          </cell>
          <cell r="D498" t="str">
            <v>Black</v>
          </cell>
          <cell r="E498" t="str">
            <v>FAUX FUR &amp; LINING: 100%POLYES...</v>
          </cell>
          <cell r="F498" t="str">
            <v>CN</v>
          </cell>
          <cell r="H498">
            <v>5</v>
          </cell>
          <cell r="I498">
            <v>6</v>
          </cell>
          <cell r="J498">
            <v>30</v>
          </cell>
          <cell r="K498" t="str">
            <v>6117.80.9540</v>
          </cell>
          <cell r="L498" t="str">
            <v>6117.80.80.00.00</v>
          </cell>
        </row>
        <row r="499">
          <cell r="B499" t="str">
            <v>A0484U</v>
          </cell>
          <cell r="C499" t="str">
            <v>Accessory - Cold Weather</v>
          </cell>
          <cell r="D499" t="str">
            <v>Ivory</v>
          </cell>
          <cell r="E499" t="str">
            <v>FAUX FUR &amp; LINING: 100%POLYES...</v>
          </cell>
          <cell r="F499" t="str">
            <v>CN</v>
          </cell>
          <cell r="H499">
            <v>5</v>
          </cell>
          <cell r="I499">
            <v>6</v>
          </cell>
          <cell r="J499">
            <v>30</v>
          </cell>
          <cell r="K499" t="str">
            <v>6117.80.9540</v>
          </cell>
          <cell r="L499" t="str">
            <v>6117.80.80.00.00</v>
          </cell>
        </row>
        <row r="500">
          <cell r="B500" t="str">
            <v>M3204R</v>
          </cell>
          <cell r="C500" t="str">
            <v>Men's Outerwear</v>
          </cell>
          <cell r="D500" t="str">
            <v>Black</v>
          </cell>
          <cell r="E500" t="str">
            <v>SHELL: 42%NYLON 58%COTTON&gt;LI...</v>
          </cell>
          <cell r="F500" t="str">
            <v>CN</v>
          </cell>
          <cell r="H500">
            <v>21.28</v>
          </cell>
          <cell r="I500">
            <v>19</v>
          </cell>
          <cell r="J500">
            <v>404.32</v>
          </cell>
          <cell r="K500" t="str">
            <v>6201.30.8051</v>
          </cell>
          <cell r="L500" t="str">
            <v>6201.30.10.00.12</v>
          </cell>
        </row>
        <row r="501">
          <cell r="B501" t="str">
            <v>M3204R</v>
          </cell>
          <cell r="C501" t="str">
            <v>Men's Outerwear</v>
          </cell>
          <cell r="D501" t="str">
            <v>Gravel</v>
          </cell>
          <cell r="E501" t="str">
            <v>SHELL: 42%NYLON 58%COTTON&gt;LI...</v>
          </cell>
          <cell r="F501" t="str">
            <v>CN</v>
          </cell>
          <cell r="H501">
            <v>21.28</v>
          </cell>
          <cell r="I501">
            <v>16</v>
          </cell>
          <cell r="J501">
            <v>340.48</v>
          </cell>
          <cell r="K501" t="str">
            <v>6201.30.8051</v>
          </cell>
          <cell r="L501" t="str">
            <v>6201.30.10.00.12</v>
          </cell>
        </row>
        <row r="502">
          <cell r="B502" t="str">
            <v>M3204R</v>
          </cell>
          <cell r="C502" t="str">
            <v>Men's Outerwear</v>
          </cell>
          <cell r="D502" t="str">
            <v>Steel Grey</v>
          </cell>
          <cell r="E502" t="str">
            <v>SHELL: 42%NYLON 58%COTTON&gt;LI...</v>
          </cell>
          <cell r="F502" t="str">
            <v>CN</v>
          </cell>
          <cell r="H502">
            <v>21.28</v>
          </cell>
          <cell r="I502">
            <v>11</v>
          </cell>
          <cell r="J502">
            <v>234.08</v>
          </cell>
          <cell r="K502" t="str">
            <v>6201.30.8051</v>
          </cell>
          <cell r="L502" t="str">
            <v>6201.30.10.00.12</v>
          </cell>
        </row>
        <row r="503">
          <cell r="B503" t="str">
            <v>M4171R</v>
          </cell>
          <cell r="C503" t="str">
            <v>Men's Outerwear</v>
          </cell>
          <cell r="D503" t="str">
            <v>Anthracite</v>
          </cell>
          <cell r="E503" t="str">
            <v>SHELL: 80%RECYCLED POLYESTE...</v>
          </cell>
          <cell r="F503" t="str">
            <v>CN</v>
          </cell>
          <cell r="H503">
            <v>39.14</v>
          </cell>
          <cell r="I503">
            <v>9</v>
          </cell>
          <cell r="J503">
            <v>352.26</v>
          </cell>
          <cell r="K503" t="str">
            <v>6201.40.7000</v>
          </cell>
          <cell r="L503" t="str">
            <v>6201.40.90.00.11</v>
          </cell>
        </row>
        <row r="504">
          <cell r="B504" t="str">
            <v>M3259R</v>
          </cell>
          <cell r="C504" t="str">
            <v>Men's Cover Ups</v>
          </cell>
          <cell r="D504" t="str">
            <v>Black</v>
          </cell>
          <cell r="E504" t="str">
            <v>100%NYLON&gt;EXCLUSIVE OF TRIMMING</v>
          </cell>
          <cell r="F504" t="str">
            <v>CN</v>
          </cell>
          <cell r="H504">
            <v>23.47</v>
          </cell>
          <cell r="I504">
            <v>9</v>
          </cell>
          <cell r="J504">
            <v>211.23</v>
          </cell>
          <cell r="K504" t="str">
            <v>6201.40.7511</v>
          </cell>
          <cell r="L504" t="str">
            <v>6201.40.90.00.12</v>
          </cell>
        </row>
        <row r="505">
          <cell r="B505" t="str">
            <v>W4559R</v>
          </cell>
          <cell r="C505" t="str">
            <v>Women's Outerwear</v>
          </cell>
          <cell r="D505" t="str">
            <v>Toasted Almond</v>
          </cell>
          <cell r="E505" t="str">
            <v>SHELL: 75%COTTON 11%POLYEST...</v>
          </cell>
          <cell r="F505" t="str">
            <v>CN</v>
          </cell>
          <cell r="H505">
            <v>64.94</v>
          </cell>
          <cell r="I505">
            <v>6</v>
          </cell>
          <cell r="J505">
            <v>389.64</v>
          </cell>
          <cell r="K505" t="str">
            <v>6202.30.2050</v>
          </cell>
          <cell r="L505" t="str">
            <v>6202.30.10.00.13</v>
          </cell>
        </row>
        <row r="506">
          <cell r="B506" t="str">
            <v>W4469R</v>
          </cell>
          <cell r="C506" t="str">
            <v>Women's Vests</v>
          </cell>
          <cell r="D506" t="str">
            <v>Black</v>
          </cell>
          <cell r="E506" t="str">
            <v>SHELL &amp; LINING: 100%NYLON &gt; FIL...</v>
          </cell>
          <cell r="F506" t="str">
            <v>CN</v>
          </cell>
          <cell r="H506">
            <v>33.049999999999997</v>
          </cell>
          <cell r="I506">
            <v>24</v>
          </cell>
          <cell r="J506">
            <v>793.2</v>
          </cell>
          <cell r="K506" t="str">
            <v>6202.40.6020</v>
          </cell>
          <cell r="L506" t="str">
            <v>6202.40.10.00.14</v>
          </cell>
        </row>
        <row r="507">
          <cell r="B507" t="str">
            <v>W4469R</v>
          </cell>
          <cell r="C507" t="str">
            <v>Women's Vests</v>
          </cell>
          <cell r="D507" t="str">
            <v>Toasted Almond</v>
          </cell>
          <cell r="E507" t="str">
            <v>SHELL &amp; LINING: 100%NYLON&gt;FILL...</v>
          </cell>
          <cell r="F507" t="str">
            <v>CN</v>
          </cell>
          <cell r="H507">
            <v>32.869999999999997</v>
          </cell>
          <cell r="I507">
            <v>24</v>
          </cell>
          <cell r="J507">
            <v>788.88</v>
          </cell>
          <cell r="K507" t="str">
            <v>6202.40.6020</v>
          </cell>
          <cell r="L507" t="str">
            <v>6202.40.10.00.14</v>
          </cell>
        </row>
        <row r="508">
          <cell r="B508" t="str">
            <v>W4583R</v>
          </cell>
          <cell r="C508" t="str">
            <v>Women's Vests</v>
          </cell>
          <cell r="D508" t="str">
            <v>Black</v>
          </cell>
          <cell r="E508" t="str">
            <v>SHELL: 83%NYLON 17%ELASTANE...</v>
          </cell>
          <cell r="F508" t="str">
            <v>CN</v>
          </cell>
          <cell r="H508">
            <v>38.159999999999997</v>
          </cell>
          <cell r="I508">
            <v>12</v>
          </cell>
          <cell r="J508">
            <v>457.92</v>
          </cell>
          <cell r="K508" t="str">
            <v>6202.40.6020</v>
          </cell>
          <cell r="L508" t="str">
            <v>6202.40.10.00.14</v>
          </cell>
        </row>
        <row r="509">
          <cell r="B509" t="str">
            <v>W4583R</v>
          </cell>
          <cell r="C509" t="str">
            <v>Women's Vests</v>
          </cell>
          <cell r="D509" t="str">
            <v>Ivory</v>
          </cell>
          <cell r="E509" t="str">
            <v>SHELL: 83%NYLON 17%ELASTANE...</v>
          </cell>
          <cell r="F509" t="str">
            <v>CN</v>
          </cell>
          <cell r="H509">
            <v>38.159999999999997</v>
          </cell>
          <cell r="I509">
            <v>9</v>
          </cell>
          <cell r="J509">
            <v>343.44</v>
          </cell>
          <cell r="K509" t="str">
            <v>6202.40.6020</v>
          </cell>
          <cell r="L509" t="str">
            <v>6202.40.10.00.14</v>
          </cell>
        </row>
        <row r="510">
          <cell r="B510" t="str">
            <v>W4583R</v>
          </cell>
          <cell r="C510" t="str">
            <v>Women's Vests</v>
          </cell>
          <cell r="D510" t="str">
            <v>Steel Grey</v>
          </cell>
          <cell r="E510" t="str">
            <v>SHELL: 83%NYLON 17%ELASTANE...</v>
          </cell>
          <cell r="F510" t="str">
            <v>CN</v>
          </cell>
          <cell r="H510">
            <v>38.159999999999997</v>
          </cell>
          <cell r="I510">
            <v>9</v>
          </cell>
          <cell r="J510">
            <v>343.44</v>
          </cell>
          <cell r="K510" t="str">
            <v>6202.40.6020</v>
          </cell>
          <cell r="L510" t="str">
            <v>6202.40.10.00.14</v>
          </cell>
        </row>
        <row r="511">
          <cell r="B511" t="str">
            <v>W4639R</v>
          </cell>
          <cell r="C511" t="str">
            <v>Women's Vests</v>
          </cell>
          <cell r="D511" t="str">
            <v>Espresso</v>
          </cell>
          <cell r="E511" t="str">
            <v>SHELL &amp; LINING: 100%NYLON&gt;FILL...</v>
          </cell>
          <cell r="F511" t="str">
            <v>CN</v>
          </cell>
          <cell r="H511">
            <v>26.92</v>
          </cell>
          <cell r="I511">
            <v>14</v>
          </cell>
          <cell r="J511">
            <v>376.88</v>
          </cell>
          <cell r="K511" t="str">
            <v>6202.40.6020</v>
          </cell>
          <cell r="L511" t="str">
            <v>6202.40.10.00.14</v>
          </cell>
        </row>
        <row r="512">
          <cell r="B512" t="str">
            <v>W4639R</v>
          </cell>
          <cell r="C512" t="str">
            <v>Women's Vests</v>
          </cell>
          <cell r="D512" t="str">
            <v>Toasted Almond</v>
          </cell>
          <cell r="E512" t="str">
            <v>SHELL &amp; LINING: 100%NYLON&gt;FILL...</v>
          </cell>
          <cell r="F512" t="str">
            <v>CN</v>
          </cell>
          <cell r="H512">
            <v>25.29</v>
          </cell>
          <cell r="I512">
            <v>12</v>
          </cell>
          <cell r="J512">
            <v>303.48</v>
          </cell>
          <cell r="K512" t="str">
            <v>6202.40.6020</v>
          </cell>
          <cell r="L512" t="str">
            <v>6202.40.10.00.14</v>
          </cell>
        </row>
        <row r="513">
          <cell r="B513" t="str">
            <v>W3660R</v>
          </cell>
          <cell r="C513" t="str">
            <v>Women's Cover Ups</v>
          </cell>
          <cell r="D513" t="str">
            <v>White</v>
          </cell>
          <cell r="E513" t="str">
            <v>100%NYLON&gt;EXCLUSIVE OF TRIMMING</v>
          </cell>
          <cell r="F513" t="str">
            <v>CN</v>
          </cell>
          <cell r="H513">
            <v>22.95</v>
          </cell>
          <cell r="I513">
            <v>12</v>
          </cell>
          <cell r="J513">
            <v>275.39999999999998</v>
          </cell>
          <cell r="K513" t="str">
            <v>6202.40.7000</v>
          </cell>
          <cell r="L513" t="str">
            <v>6202.40.10.00.11</v>
          </cell>
        </row>
        <row r="514">
          <cell r="B514" t="str">
            <v>W3660R</v>
          </cell>
          <cell r="C514" t="str">
            <v>Women's Cover Ups</v>
          </cell>
          <cell r="D514" t="str">
            <v>Black</v>
          </cell>
          <cell r="E514" t="str">
            <v>100%NYLON&gt;EXCLUSIVE OF TRIMMING</v>
          </cell>
          <cell r="F514" t="str">
            <v>CN</v>
          </cell>
          <cell r="H514">
            <v>22.95</v>
          </cell>
          <cell r="I514">
            <v>12</v>
          </cell>
          <cell r="J514">
            <v>275.39999999999998</v>
          </cell>
          <cell r="K514" t="str">
            <v>6202.40.7000</v>
          </cell>
          <cell r="L514" t="str">
            <v>6202.40.10.00.11</v>
          </cell>
        </row>
        <row r="515">
          <cell r="B515" t="str">
            <v>W4380R</v>
          </cell>
          <cell r="C515" t="str">
            <v>Women's Outerwear</v>
          </cell>
          <cell r="D515" t="str">
            <v>Black</v>
          </cell>
          <cell r="E515" t="str">
            <v>SHELL &amp; LINING: 100%NYLON&gt;FILL...</v>
          </cell>
          <cell r="F515" t="str">
            <v>CN</v>
          </cell>
          <cell r="H515">
            <v>36.520000000000003</v>
          </cell>
          <cell r="I515">
            <v>19</v>
          </cell>
          <cell r="J515">
            <v>693.88</v>
          </cell>
          <cell r="K515" t="str">
            <v>6202.40.7000</v>
          </cell>
          <cell r="L515" t="str">
            <v>6202.40.10.00.11</v>
          </cell>
        </row>
        <row r="516">
          <cell r="B516" t="str">
            <v>W4380R</v>
          </cell>
          <cell r="C516" t="str">
            <v>Women's Outerwear</v>
          </cell>
          <cell r="D516" t="str">
            <v>Espresso</v>
          </cell>
          <cell r="E516" t="str">
            <v>SHELL &amp; LINING: 100%NYLON&gt;FILL...</v>
          </cell>
          <cell r="F516" t="str">
            <v>VN</v>
          </cell>
          <cell r="H516">
            <v>36.520000000000003</v>
          </cell>
          <cell r="I516">
            <v>16</v>
          </cell>
          <cell r="J516">
            <v>584.32000000000005</v>
          </cell>
          <cell r="K516" t="str">
            <v>6202.40.7000</v>
          </cell>
          <cell r="L516" t="str">
            <v>6202.40.10.00.11</v>
          </cell>
        </row>
        <row r="517">
          <cell r="B517" t="str">
            <v>W4380R</v>
          </cell>
          <cell r="C517" t="str">
            <v>Women's Outerwear</v>
          </cell>
          <cell r="D517" t="str">
            <v>Toasted Almond</v>
          </cell>
          <cell r="E517" t="str">
            <v>SHELL &amp; LINING: 100%NYLON&gt;FILL...</v>
          </cell>
          <cell r="F517" t="str">
            <v>VN</v>
          </cell>
          <cell r="H517">
            <v>36.520000000000003</v>
          </cell>
          <cell r="I517">
            <v>12</v>
          </cell>
          <cell r="J517">
            <v>438.24</v>
          </cell>
          <cell r="K517" t="str">
            <v>6202.40.7000</v>
          </cell>
          <cell r="L517" t="str">
            <v>6202.40.10.00.11</v>
          </cell>
        </row>
        <row r="518">
          <cell r="B518" t="str">
            <v>W4380R</v>
          </cell>
          <cell r="C518" t="str">
            <v>Women's Outerwear</v>
          </cell>
          <cell r="D518" t="str">
            <v>Steel Grey</v>
          </cell>
          <cell r="E518" t="str">
            <v>SHELL &amp; LINING: 100%NYLON&gt;FILL...</v>
          </cell>
          <cell r="F518" t="str">
            <v>VN</v>
          </cell>
          <cell r="H518">
            <v>36.520000000000003</v>
          </cell>
          <cell r="I518">
            <v>12</v>
          </cell>
          <cell r="J518">
            <v>438.24</v>
          </cell>
          <cell r="K518" t="str">
            <v>6202.40.7000</v>
          </cell>
          <cell r="L518" t="str">
            <v>6202.40.10.00.11</v>
          </cell>
        </row>
        <row r="519">
          <cell r="B519" t="str">
            <v>W4433R</v>
          </cell>
          <cell r="C519" t="str">
            <v>Women's Outerwear</v>
          </cell>
          <cell r="D519" t="str">
            <v>Black</v>
          </cell>
          <cell r="E519" t="str">
            <v>SHELL &amp; LINING: 100%NYLON&gt;FILL...</v>
          </cell>
          <cell r="F519" t="str">
            <v>CN</v>
          </cell>
          <cell r="H519">
            <v>40.340000000000003</v>
          </cell>
          <cell r="I519">
            <v>9</v>
          </cell>
          <cell r="J519">
            <v>363.06</v>
          </cell>
          <cell r="K519" t="str">
            <v>6202.40.7000</v>
          </cell>
          <cell r="L519" t="str">
            <v>6202.40.10.00.11</v>
          </cell>
        </row>
        <row r="520">
          <cell r="B520" t="str">
            <v>W4433R</v>
          </cell>
          <cell r="C520" t="str">
            <v>Women's Outerwear</v>
          </cell>
          <cell r="D520" t="str">
            <v>Ivory</v>
          </cell>
          <cell r="E520" t="str">
            <v>SHELL &amp; LINING: 100%NYLON&gt;FILL...</v>
          </cell>
          <cell r="F520" t="str">
            <v>CN</v>
          </cell>
          <cell r="H520">
            <v>40.340000000000003</v>
          </cell>
          <cell r="I520">
            <v>9</v>
          </cell>
          <cell r="J520">
            <v>363.06</v>
          </cell>
          <cell r="K520" t="str">
            <v>6202.40.7000</v>
          </cell>
          <cell r="L520" t="str">
            <v>6202.40.10.00.11</v>
          </cell>
        </row>
        <row r="521">
          <cell r="B521" t="str">
            <v>W4380R</v>
          </cell>
          <cell r="C521" t="str">
            <v>Women's Outerwear</v>
          </cell>
          <cell r="D521" t="str">
            <v>Black</v>
          </cell>
          <cell r="E521" t="str">
            <v>SHELL &amp; LINING: 100%NYLON&gt;FILL...</v>
          </cell>
          <cell r="F521" t="str">
            <v>CN</v>
          </cell>
          <cell r="H521">
            <v>36.520000000000003</v>
          </cell>
          <cell r="I521">
            <v>59</v>
          </cell>
          <cell r="J521">
            <v>2154.6799999999998</v>
          </cell>
          <cell r="K521" t="str">
            <v>6202.40.7000</v>
          </cell>
          <cell r="L521" t="str">
            <v>6202.40.10.00.11</v>
          </cell>
        </row>
        <row r="522">
          <cell r="B522" t="str">
            <v>W4380R</v>
          </cell>
          <cell r="C522" t="str">
            <v>Women's Outerwear</v>
          </cell>
          <cell r="D522" t="str">
            <v>Toasted Almond</v>
          </cell>
          <cell r="E522" t="str">
            <v>SHELL &amp; LINING: 100%NYLON&gt;FILL...</v>
          </cell>
          <cell r="F522" t="str">
            <v>VN</v>
          </cell>
          <cell r="H522">
            <v>36.630000000000003</v>
          </cell>
          <cell r="I522">
            <v>18</v>
          </cell>
          <cell r="J522">
            <v>659.34</v>
          </cell>
          <cell r="K522" t="str">
            <v>6202.40.7000</v>
          </cell>
          <cell r="L522" t="str">
            <v>6202.40.10.00.11</v>
          </cell>
        </row>
        <row r="523">
          <cell r="B523" t="str">
            <v>W4380R</v>
          </cell>
          <cell r="C523" t="str">
            <v>Women's Outerwear</v>
          </cell>
          <cell r="D523" t="str">
            <v>Celestial Blue</v>
          </cell>
          <cell r="E523" t="str">
            <v>SHELL &amp; LINING: 100%NYLON&gt;FILL...</v>
          </cell>
          <cell r="F523" t="str">
            <v>VN</v>
          </cell>
          <cell r="H523">
            <v>36.630000000000003</v>
          </cell>
          <cell r="I523">
            <v>9</v>
          </cell>
          <cell r="J523">
            <v>329.67</v>
          </cell>
          <cell r="K523" t="str">
            <v>6202.40.7000</v>
          </cell>
          <cell r="L523" t="str">
            <v>6202.40.10.00.11</v>
          </cell>
        </row>
        <row r="524">
          <cell r="B524" t="str">
            <v>W4587R</v>
          </cell>
          <cell r="C524" t="str">
            <v>Women's Outerwear</v>
          </cell>
          <cell r="D524" t="str">
            <v>Black</v>
          </cell>
          <cell r="E524" t="str">
            <v>SHELL: 83%NYLON 17%ELASTANE...</v>
          </cell>
          <cell r="F524" t="str">
            <v>CN</v>
          </cell>
          <cell r="H524">
            <v>48.37</v>
          </cell>
          <cell r="I524">
            <v>6</v>
          </cell>
          <cell r="J524">
            <v>290.22000000000003</v>
          </cell>
          <cell r="K524" t="str">
            <v>6202.40.7511</v>
          </cell>
          <cell r="L524" t="str">
            <v>6202.40.10.00.11</v>
          </cell>
        </row>
        <row r="525">
          <cell r="B525" t="str">
            <v>AWDNWJ1005</v>
          </cell>
          <cell r="C525" t="str">
            <v>MA QUAD WORKWEAR JACKET</v>
          </cell>
          <cell r="E525" t="str">
            <v>100% COTTON</v>
          </cell>
          <cell r="F525" t="str">
            <v>IT</v>
          </cell>
          <cell r="H525">
            <v>346.5</v>
          </cell>
          <cell r="I525">
            <v>4</v>
          </cell>
          <cell r="J525">
            <v>1386</v>
          </cell>
          <cell r="K525" t="str">
            <v>62023090</v>
          </cell>
          <cell r="L525" t="str">
            <v>6202.30.90.00.11</v>
          </cell>
        </row>
        <row r="526">
          <cell r="B526" t="str">
            <v>M5159R</v>
          </cell>
          <cell r="C526" t="str">
            <v>Men's Trousers</v>
          </cell>
          <cell r="D526" t="str">
            <v>Gravel</v>
          </cell>
          <cell r="E526" t="str">
            <v>100%COTTON&gt;EXCLUSIVE OF TRIMMING</v>
          </cell>
          <cell r="F526" t="str">
            <v>CN</v>
          </cell>
          <cell r="H526">
            <v>22.3</v>
          </cell>
          <cell r="I526">
            <v>13</v>
          </cell>
          <cell r="J526">
            <v>289.89999999999998</v>
          </cell>
          <cell r="K526" t="str">
            <v>6203.42.4516</v>
          </cell>
          <cell r="L526" t="str">
            <v>6203.42.35.00.00</v>
          </cell>
        </row>
        <row r="527">
          <cell r="B527" t="str">
            <v>M5189R</v>
          </cell>
          <cell r="C527" t="str">
            <v>Men's Trousers</v>
          </cell>
          <cell r="D527" t="str">
            <v>Black</v>
          </cell>
          <cell r="E527" t="str">
            <v>89%NYLON 11%ELASTANE&gt;EXCLU...</v>
          </cell>
          <cell r="F527" t="str">
            <v>CN</v>
          </cell>
          <cell r="H527">
            <v>31.56</v>
          </cell>
          <cell r="I527">
            <v>19</v>
          </cell>
          <cell r="J527">
            <v>599.64</v>
          </cell>
          <cell r="K527" t="str">
            <v>6203.43.7590</v>
          </cell>
          <cell r="L527" t="str">
            <v>6203.43.19.00.00</v>
          </cell>
        </row>
        <row r="528">
          <cell r="B528" t="str">
            <v>M5189R</v>
          </cell>
          <cell r="C528" t="str">
            <v>Men's Trousers</v>
          </cell>
          <cell r="D528" t="str">
            <v>Espresso</v>
          </cell>
          <cell r="E528" t="str">
            <v>89%NYLON 11%ELASTANE&gt;EXCLU...</v>
          </cell>
          <cell r="F528" t="str">
            <v>CN</v>
          </cell>
          <cell r="H528">
            <v>31.56</v>
          </cell>
          <cell r="I528">
            <v>16</v>
          </cell>
          <cell r="J528">
            <v>504.96</v>
          </cell>
          <cell r="K528" t="str">
            <v>6203.43.7590</v>
          </cell>
          <cell r="L528" t="str">
            <v>6203.43.19.00.00</v>
          </cell>
        </row>
        <row r="529">
          <cell r="B529" t="str">
            <v>M5190R</v>
          </cell>
          <cell r="C529" t="str">
            <v>Men's Bottoms/Pants</v>
          </cell>
          <cell r="D529" t="str">
            <v>Black</v>
          </cell>
          <cell r="E529" t="str">
            <v>BODY: 89%NYLON 11%ELASTANE&gt;...</v>
          </cell>
          <cell r="F529" t="str">
            <v>CN</v>
          </cell>
          <cell r="H529">
            <v>19.059999999999999</v>
          </cell>
          <cell r="I529">
            <v>30</v>
          </cell>
          <cell r="J529">
            <v>571.79999999999995</v>
          </cell>
          <cell r="K529" t="str">
            <v>6203.43.7590</v>
          </cell>
          <cell r="L529" t="str">
            <v>6203.43.19.00.00</v>
          </cell>
        </row>
        <row r="530">
          <cell r="B530" t="str">
            <v>M5190R</v>
          </cell>
          <cell r="C530" t="str">
            <v>Men's Bottoms/Pants</v>
          </cell>
          <cell r="D530" t="str">
            <v>Anthracite</v>
          </cell>
          <cell r="E530" t="str">
            <v>BODY: 89%NYLON 11%ELASTANE&gt;...</v>
          </cell>
          <cell r="F530" t="str">
            <v>CN</v>
          </cell>
          <cell r="H530">
            <v>19.059999999999999</v>
          </cell>
          <cell r="I530">
            <v>30</v>
          </cell>
          <cell r="J530">
            <v>571.79999999999995</v>
          </cell>
          <cell r="K530" t="str">
            <v>6203.43.7590</v>
          </cell>
          <cell r="L530" t="str">
            <v>6203.43.19.00.00</v>
          </cell>
        </row>
        <row r="531">
          <cell r="B531" t="str">
            <v>M5190R</v>
          </cell>
          <cell r="C531" t="str">
            <v>Men's Bottoms/Pants</v>
          </cell>
          <cell r="D531" t="str">
            <v>Espresso</v>
          </cell>
          <cell r="E531" t="str">
            <v>BODY: 89%NYLON 11%ELASTANE&gt;...</v>
          </cell>
          <cell r="F531" t="str">
            <v>CN</v>
          </cell>
          <cell r="H531">
            <v>19.059999999999999</v>
          </cell>
          <cell r="I531">
            <v>18</v>
          </cell>
          <cell r="J531">
            <v>343.08</v>
          </cell>
          <cell r="K531" t="str">
            <v>6203.43.7590</v>
          </cell>
          <cell r="L531" t="str">
            <v>6203.43.19.00.00</v>
          </cell>
        </row>
        <row r="532">
          <cell r="B532" t="str">
            <v>M5191R</v>
          </cell>
          <cell r="C532" t="str">
            <v>Men's Trousers</v>
          </cell>
          <cell r="D532" t="str">
            <v>Black</v>
          </cell>
          <cell r="E532" t="str">
            <v>89%NYLON 11%ELASTANE</v>
          </cell>
          <cell r="F532" t="str">
            <v>CN</v>
          </cell>
          <cell r="H532">
            <v>24.3</v>
          </cell>
          <cell r="I532">
            <v>16</v>
          </cell>
          <cell r="J532">
            <v>388.8</v>
          </cell>
          <cell r="K532" t="str">
            <v>6203.43.7590</v>
          </cell>
          <cell r="L532" t="str">
            <v>6203.43.19.00.00</v>
          </cell>
        </row>
        <row r="533">
          <cell r="B533" t="str">
            <v>M5191R</v>
          </cell>
          <cell r="C533" t="str">
            <v>Men's Trousers</v>
          </cell>
          <cell r="D533" t="str">
            <v>Steel Grey</v>
          </cell>
          <cell r="E533" t="str">
            <v>89%NYLON 11%ELASTANE</v>
          </cell>
          <cell r="F533" t="str">
            <v>CN</v>
          </cell>
          <cell r="H533">
            <v>24.3</v>
          </cell>
          <cell r="I533">
            <v>11</v>
          </cell>
          <cell r="J533">
            <v>267.3</v>
          </cell>
          <cell r="K533" t="str">
            <v>6203.43.7590</v>
          </cell>
          <cell r="L533" t="str">
            <v>6203.43.19.00.00</v>
          </cell>
        </row>
        <row r="534">
          <cell r="B534" t="str">
            <v>M5175R</v>
          </cell>
          <cell r="C534" t="str">
            <v>Men's Bottoms/Pants</v>
          </cell>
          <cell r="D534" t="str">
            <v>Black</v>
          </cell>
          <cell r="E534" t="str">
            <v>86%POLYESTER 14%ELASTANE&gt;E...</v>
          </cell>
          <cell r="F534" t="str">
            <v>CN</v>
          </cell>
          <cell r="H534">
            <v>18.88</v>
          </cell>
          <cell r="I534">
            <v>19</v>
          </cell>
          <cell r="J534">
            <v>358.72</v>
          </cell>
          <cell r="K534" t="str">
            <v>6203.43.9009</v>
          </cell>
          <cell r="L534" t="str">
            <v>6203.43.19.00.00</v>
          </cell>
        </row>
        <row r="535">
          <cell r="B535" t="str">
            <v>M5175R</v>
          </cell>
          <cell r="C535" t="str">
            <v>Men's Bottoms/Pants</v>
          </cell>
          <cell r="D535" t="str">
            <v>Navy</v>
          </cell>
          <cell r="E535" t="str">
            <v>86%POLYESTER 14%ELASTANE&gt;E...</v>
          </cell>
          <cell r="F535" t="str">
            <v>CN</v>
          </cell>
          <cell r="H535">
            <v>18.88</v>
          </cell>
          <cell r="I535">
            <v>16</v>
          </cell>
          <cell r="J535">
            <v>302.08</v>
          </cell>
          <cell r="K535" t="str">
            <v>6203.43.9009</v>
          </cell>
          <cell r="L535" t="str">
            <v>6203.43.19.00.00</v>
          </cell>
        </row>
        <row r="536">
          <cell r="B536" t="str">
            <v>M5175R</v>
          </cell>
          <cell r="C536" t="str">
            <v>Men's Bottoms/Pants</v>
          </cell>
          <cell r="D536" t="str">
            <v>Gravel</v>
          </cell>
          <cell r="E536" t="str">
            <v>86%POLYESTER 14%ELASTANE&gt;E...</v>
          </cell>
          <cell r="F536" t="str">
            <v>CN</v>
          </cell>
          <cell r="H536">
            <v>20.8</v>
          </cell>
          <cell r="I536">
            <v>19</v>
          </cell>
          <cell r="J536">
            <v>395.2</v>
          </cell>
          <cell r="K536" t="str">
            <v>6203.43.9009</v>
          </cell>
          <cell r="L536" t="str">
            <v>6203.43.19.00.00</v>
          </cell>
        </row>
        <row r="537">
          <cell r="B537" t="str">
            <v>M5150R</v>
          </cell>
          <cell r="C537" t="str">
            <v>Men's Bottoms/Pants</v>
          </cell>
          <cell r="D537" t="str">
            <v>Anthracite/Black</v>
          </cell>
          <cell r="E537" t="str">
            <v>BODY: 92%POLYESTER 8%ELASTA...</v>
          </cell>
          <cell r="F537" t="str">
            <v>CN</v>
          </cell>
          <cell r="H537">
            <v>21.42</v>
          </cell>
          <cell r="I537">
            <v>9</v>
          </cell>
          <cell r="J537">
            <v>192.78</v>
          </cell>
          <cell r="K537" t="str">
            <v>6203.43.9010</v>
          </cell>
          <cell r="L537" t="str">
            <v>6203.43.19.00.00</v>
          </cell>
        </row>
        <row r="538">
          <cell r="B538" t="str">
            <v>M6114R</v>
          </cell>
          <cell r="C538" t="str">
            <v>Men's Shorts</v>
          </cell>
          <cell r="D538" t="str">
            <v>Black/Black</v>
          </cell>
          <cell r="E538" t="str">
            <v>SHELL: 92%POLYESTER 8%ELAST...</v>
          </cell>
          <cell r="F538" t="str">
            <v>VN</v>
          </cell>
          <cell r="H538">
            <v>18.850000000000001</v>
          </cell>
          <cell r="I538">
            <v>20</v>
          </cell>
          <cell r="J538">
            <v>377</v>
          </cell>
          <cell r="K538" t="str">
            <v>6203.43.9030</v>
          </cell>
          <cell r="L538" t="str">
            <v>6203.43.19.00.00</v>
          </cell>
        </row>
        <row r="539">
          <cell r="B539" t="str">
            <v>M6125R</v>
          </cell>
          <cell r="C539" t="str">
            <v>Men's Shorts</v>
          </cell>
          <cell r="D539" t="str">
            <v>Anthracite/Black</v>
          </cell>
          <cell r="E539" t="str">
            <v>86%POLYESTER 14%ELASTANE</v>
          </cell>
          <cell r="F539" t="str">
            <v>VN</v>
          </cell>
          <cell r="H539">
            <v>15.51</v>
          </cell>
          <cell r="I539">
            <v>19</v>
          </cell>
          <cell r="J539">
            <v>294.69</v>
          </cell>
          <cell r="K539" t="str">
            <v>6203.43.9030</v>
          </cell>
          <cell r="L539" t="str">
            <v>6203.43.19.00.00</v>
          </cell>
        </row>
        <row r="540">
          <cell r="B540" t="str">
            <v>M6125R</v>
          </cell>
          <cell r="C540" t="str">
            <v>Men's Shorts</v>
          </cell>
          <cell r="D540" t="str">
            <v>Black/Anthracite</v>
          </cell>
          <cell r="E540" t="str">
            <v>86%POLYESTER 14%ELASTANE</v>
          </cell>
          <cell r="F540" t="str">
            <v>VN</v>
          </cell>
          <cell r="H540">
            <v>15.51</v>
          </cell>
          <cell r="I540">
            <v>20</v>
          </cell>
          <cell r="J540">
            <v>310.2</v>
          </cell>
          <cell r="K540" t="str">
            <v>6203.43.9030</v>
          </cell>
          <cell r="L540" t="str">
            <v>6203.43.19.00.00</v>
          </cell>
        </row>
        <row r="541">
          <cell r="B541" t="str">
            <v>M6127R</v>
          </cell>
          <cell r="C541" t="str">
            <v>Men's Shorts</v>
          </cell>
          <cell r="D541" t="str">
            <v>Black</v>
          </cell>
          <cell r="E541" t="str">
            <v>BODY: 65%TENCEL™LYOCELL 30...</v>
          </cell>
          <cell r="F541" t="str">
            <v>VN</v>
          </cell>
          <cell r="H541">
            <v>16.309999999999999</v>
          </cell>
          <cell r="I541">
            <v>14</v>
          </cell>
          <cell r="J541">
            <v>228.34</v>
          </cell>
          <cell r="K541" t="str">
            <v>6203.43.9030</v>
          </cell>
          <cell r="L541" t="str">
            <v>6203.43.19.00.00</v>
          </cell>
        </row>
        <row r="542">
          <cell r="B542" t="str">
            <v>M6140R</v>
          </cell>
          <cell r="C542" t="str">
            <v>Men's Shorts</v>
          </cell>
          <cell r="D542" t="str">
            <v>Black</v>
          </cell>
          <cell r="E542" t="str">
            <v>86%POLYESTER 14%ELASTANE&gt;E...</v>
          </cell>
          <cell r="F542" t="str">
            <v>VN</v>
          </cell>
          <cell r="H542">
            <v>17.07</v>
          </cell>
          <cell r="I542">
            <v>20</v>
          </cell>
          <cell r="J542">
            <v>341.4</v>
          </cell>
          <cell r="K542" t="str">
            <v>6203.43.9030</v>
          </cell>
          <cell r="L542" t="str">
            <v>6203.43.19.00.00</v>
          </cell>
        </row>
        <row r="543">
          <cell r="B543" t="str">
            <v>M6140R</v>
          </cell>
          <cell r="C543" t="str">
            <v>Men's Shorts</v>
          </cell>
          <cell r="D543" t="str">
            <v>Steel Grey</v>
          </cell>
          <cell r="E543" t="str">
            <v>86%POLYESTER 14%ELASTANE&gt;E...</v>
          </cell>
          <cell r="F543" t="str">
            <v>VN</v>
          </cell>
          <cell r="H543">
            <v>17.07</v>
          </cell>
          <cell r="I543">
            <v>14</v>
          </cell>
          <cell r="J543">
            <v>238.98</v>
          </cell>
          <cell r="K543" t="str">
            <v>6203.43.9030</v>
          </cell>
          <cell r="L543" t="str">
            <v>6203.43.19.00.00</v>
          </cell>
        </row>
        <row r="544">
          <cell r="B544" t="str">
            <v>M6154R</v>
          </cell>
          <cell r="C544" t="str">
            <v>Men's Shorts</v>
          </cell>
          <cell r="D544" t="str">
            <v>Black</v>
          </cell>
          <cell r="E544" t="str">
            <v>BODY: 86%POLYESTER 14%ELAST...</v>
          </cell>
          <cell r="F544" t="str">
            <v>VN</v>
          </cell>
          <cell r="H544">
            <v>10.75</v>
          </cell>
          <cell r="I544">
            <v>20</v>
          </cell>
          <cell r="J544">
            <v>215</v>
          </cell>
          <cell r="K544" t="str">
            <v>6203.43.9030</v>
          </cell>
          <cell r="L544" t="str">
            <v>6203.43.19.00.00</v>
          </cell>
        </row>
        <row r="545">
          <cell r="B545" t="str">
            <v>M6154R</v>
          </cell>
          <cell r="C545" t="str">
            <v>Men's Shorts</v>
          </cell>
          <cell r="D545" t="str">
            <v>Anthracite</v>
          </cell>
          <cell r="E545" t="str">
            <v>BODY: 86%POLYESTER 14%ELAST...</v>
          </cell>
          <cell r="F545" t="str">
            <v>VN</v>
          </cell>
          <cell r="H545">
            <v>10.75</v>
          </cell>
          <cell r="I545">
            <v>24</v>
          </cell>
          <cell r="J545">
            <v>258</v>
          </cell>
          <cell r="K545" t="str">
            <v>6203.43.9030</v>
          </cell>
          <cell r="L545" t="str">
            <v>6203.43.19.00.00</v>
          </cell>
        </row>
        <row r="546">
          <cell r="B546" t="str">
            <v>M6154R</v>
          </cell>
          <cell r="C546" t="str">
            <v>Men's Shorts</v>
          </cell>
          <cell r="D546" t="str">
            <v>Navy</v>
          </cell>
          <cell r="E546" t="str">
            <v>BODY: 86%POLYESTER 14%ELAST...</v>
          </cell>
          <cell r="F546" t="str">
            <v>VN</v>
          </cell>
          <cell r="H546">
            <v>10.75</v>
          </cell>
          <cell r="I546">
            <v>20</v>
          </cell>
          <cell r="J546">
            <v>215</v>
          </cell>
          <cell r="K546" t="str">
            <v>6203.43.9030</v>
          </cell>
          <cell r="L546" t="str">
            <v>6203.43.19.00.00</v>
          </cell>
        </row>
        <row r="547">
          <cell r="B547" t="str">
            <v>M6154R</v>
          </cell>
          <cell r="C547" t="str">
            <v>Men's Shorts</v>
          </cell>
          <cell r="D547" t="str">
            <v>Stealth Green</v>
          </cell>
          <cell r="E547" t="str">
            <v>BODY: 86%POLYESTER 14%ELAST...</v>
          </cell>
          <cell r="F547" t="str">
            <v>VN</v>
          </cell>
          <cell r="H547">
            <v>10.75</v>
          </cell>
          <cell r="I547">
            <v>20</v>
          </cell>
          <cell r="J547">
            <v>215</v>
          </cell>
          <cell r="K547" t="str">
            <v>6203.43.9030</v>
          </cell>
          <cell r="L547" t="str">
            <v>6203.43.19.00.00</v>
          </cell>
        </row>
        <row r="548">
          <cell r="B548" t="str">
            <v>M6154R</v>
          </cell>
          <cell r="C548" t="str">
            <v>Men's Shorts</v>
          </cell>
          <cell r="D548" t="str">
            <v>Eclipse Blue</v>
          </cell>
          <cell r="E548" t="str">
            <v>BODY: 86%POLYESTER 14%ELAST...</v>
          </cell>
          <cell r="F548" t="str">
            <v>VN</v>
          </cell>
          <cell r="H548">
            <v>10.93</v>
          </cell>
          <cell r="I548">
            <v>24</v>
          </cell>
          <cell r="J548">
            <v>262.32</v>
          </cell>
          <cell r="K548" t="str">
            <v>6203.43.9030</v>
          </cell>
          <cell r="L548" t="str">
            <v>6203.43.19.00.00</v>
          </cell>
        </row>
        <row r="549">
          <cell r="B549" t="str">
            <v>AMHAEA1018</v>
          </cell>
          <cell r="C549" t="str">
            <v>MA QUAD BEANIE</v>
          </cell>
          <cell r="E549" t="str">
            <v>100% WOOL</v>
          </cell>
          <cell r="F549" t="str">
            <v>IT</v>
          </cell>
          <cell r="H549">
            <v>102.2</v>
          </cell>
          <cell r="I549">
            <v>6</v>
          </cell>
          <cell r="J549">
            <v>613.20000000000005</v>
          </cell>
          <cell r="K549" t="str">
            <v>62033100</v>
          </cell>
          <cell r="L549" t="str">
            <v>6203.31.00.00.00</v>
          </cell>
        </row>
        <row r="550">
          <cell r="B550" t="str">
            <v>AMOUVY1011</v>
          </cell>
          <cell r="C550" t="str">
            <v>MA QUAD BOMBER JACKET</v>
          </cell>
          <cell r="E550" t="str">
            <v>75% WOOL 25% POLYAMIDE</v>
          </cell>
          <cell r="F550" t="str">
            <v>IT</v>
          </cell>
          <cell r="H550">
            <v>537</v>
          </cell>
          <cell r="I550">
            <v>2</v>
          </cell>
          <cell r="J550">
            <v>1074</v>
          </cell>
          <cell r="K550" t="str">
            <v>62033100</v>
          </cell>
          <cell r="L550" t="str">
            <v>6203.31.00.00.00</v>
          </cell>
        </row>
        <row r="551">
          <cell r="B551" t="str">
            <v>AMDNGH1048</v>
          </cell>
          <cell r="C551" t="str">
            <v>MA QUAD CUFF STRAIGHT JEAN</v>
          </cell>
          <cell r="E551" t="str">
            <v>100% COTTON</v>
          </cell>
          <cell r="F551" t="str">
            <v>IT</v>
          </cell>
          <cell r="H551">
            <v>297</v>
          </cell>
          <cell r="I551">
            <v>5</v>
          </cell>
          <cell r="J551">
            <v>1485</v>
          </cell>
          <cell r="K551" t="str">
            <v>62034231</v>
          </cell>
          <cell r="L551" t="str">
            <v>6203.42.31.00.00</v>
          </cell>
        </row>
        <row r="552">
          <cell r="B552" t="str">
            <v>AMJYSH1032</v>
          </cell>
          <cell r="C552" t="str">
            <v>MA QUAD SWEATSHORT</v>
          </cell>
          <cell r="E552" t="str">
            <v>100% COTTON</v>
          </cell>
          <cell r="F552" t="str">
            <v>IT</v>
          </cell>
          <cell r="H552">
            <v>177</v>
          </cell>
          <cell r="I552">
            <v>6</v>
          </cell>
          <cell r="J552">
            <v>1062</v>
          </cell>
          <cell r="K552" t="str">
            <v>62034990</v>
          </cell>
          <cell r="L552" t="str">
            <v>6203.49.90.00.00</v>
          </cell>
        </row>
        <row r="553">
          <cell r="B553" t="str">
            <v>AMSHCA1052</v>
          </cell>
          <cell r="C553" t="str">
            <v>MA QUAD SHORT</v>
          </cell>
          <cell r="E553" t="str">
            <v>100% SILK</v>
          </cell>
          <cell r="F553" t="str">
            <v>IT</v>
          </cell>
          <cell r="H553">
            <v>267</v>
          </cell>
          <cell r="I553">
            <v>4</v>
          </cell>
          <cell r="J553">
            <v>1068</v>
          </cell>
          <cell r="K553" t="str">
            <v>62034990</v>
          </cell>
          <cell r="L553" t="str">
            <v>6203.49.90.00.00</v>
          </cell>
        </row>
        <row r="554">
          <cell r="B554" t="str">
            <v>AMSHCA1062</v>
          </cell>
          <cell r="C554" t="str">
            <v>MA QUAD SHORT</v>
          </cell>
          <cell r="E554" t="str">
            <v>100% SILK</v>
          </cell>
          <cell r="F554" t="str">
            <v>IT</v>
          </cell>
          <cell r="H554">
            <v>259</v>
          </cell>
          <cell r="I554">
            <v>5</v>
          </cell>
          <cell r="J554">
            <v>1295</v>
          </cell>
          <cell r="K554" t="str">
            <v>62034990</v>
          </cell>
          <cell r="L554" t="str">
            <v>6203.49.90.00.00</v>
          </cell>
        </row>
        <row r="555">
          <cell r="B555" t="str">
            <v>W4603R</v>
          </cell>
          <cell r="C555" t="str">
            <v>Women's Outerwear</v>
          </cell>
          <cell r="D555" t="str">
            <v>Black</v>
          </cell>
          <cell r="E555" t="str">
            <v>SHELL: 69%POLYESTER 30%VISCO...</v>
          </cell>
          <cell r="F555" t="str">
            <v>VN</v>
          </cell>
          <cell r="H555">
            <v>33.74</v>
          </cell>
          <cell r="I555">
            <v>14</v>
          </cell>
          <cell r="J555">
            <v>472.36</v>
          </cell>
          <cell r="K555" t="str">
            <v>6204.33.5010</v>
          </cell>
          <cell r="L555" t="str">
            <v>6204.33.90.00.00</v>
          </cell>
        </row>
        <row r="556">
          <cell r="B556" t="str">
            <v>W4603R</v>
          </cell>
          <cell r="C556" t="str">
            <v>Women's Outerwear</v>
          </cell>
          <cell r="D556" t="str">
            <v>Toasted Almond</v>
          </cell>
          <cell r="E556" t="str">
            <v>SHELL: 69%POLYESTER 30%VISCO...</v>
          </cell>
          <cell r="F556" t="str">
            <v>CN</v>
          </cell>
          <cell r="H556">
            <v>33.74</v>
          </cell>
          <cell r="I556">
            <v>12</v>
          </cell>
          <cell r="J556">
            <v>404.88</v>
          </cell>
          <cell r="K556" t="str">
            <v>6204.33.5010</v>
          </cell>
          <cell r="L556" t="str">
            <v>6204.33.90.00.00</v>
          </cell>
        </row>
        <row r="557">
          <cell r="B557" t="str">
            <v>W4603R</v>
          </cell>
          <cell r="C557" t="str">
            <v>Women's Outerwear</v>
          </cell>
          <cell r="D557" t="str">
            <v>Steel Grey</v>
          </cell>
          <cell r="E557" t="str">
            <v>SHELL: 69%POLYESTER 30%VISCO...</v>
          </cell>
          <cell r="F557" t="str">
            <v>CN</v>
          </cell>
          <cell r="H557">
            <v>33.74</v>
          </cell>
          <cell r="I557">
            <v>9</v>
          </cell>
          <cell r="J557">
            <v>303.66000000000003</v>
          </cell>
          <cell r="K557" t="str">
            <v>6204.33.5010</v>
          </cell>
          <cell r="L557" t="str">
            <v>6204.33.90.00.00</v>
          </cell>
        </row>
        <row r="558">
          <cell r="B558" t="str">
            <v>W6240R</v>
          </cell>
          <cell r="C558" t="str">
            <v>Women's Skirts</v>
          </cell>
          <cell r="D558" t="str">
            <v>White</v>
          </cell>
          <cell r="E558" t="str">
            <v>92%POLYESTER 8%ELASTANE&gt;EX...</v>
          </cell>
          <cell r="F558" t="str">
            <v>VN</v>
          </cell>
          <cell r="H558">
            <v>12.27</v>
          </cell>
          <cell r="I558">
            <v>24</v>
          </cell>
          <cell r="J558">
            <v>294.48</v>
          </cell>
          <cell r="K558" t="str">
            <v>6204.53.3010</v>
          </cell>
          <cell r="L558" t="str">
            <v>6204.53.00.00.00</v>
          </cell>
        </row>
        <row r="559">
          <cell r="B559" t="str">
            <v>W6240R</v>
          </cell>
          <cell r="C559" t="str">
            <v>Women's Skirts</v>
          </cell>
          <cell r="D559" t="str">
            <v>Black</v>
          </cell>
          <cell r="E559" t="str">
            <v>92%POLYESTER 8%ELASTANE&gt;EX...</v>
          </cell>
          <cell r="F559" t="str">
            <v>VN</v>
          </cell>
          <cell r="H559">
            <v>12.27</v>
          </cell>
          <cell r="I559">
            <v>29</v>
          </cell>
          <cell r="J559">
            <v>355.83</v>
          </cell>
          <cell r="K559" t="str">
            <v>6204.53.3010</v>
          </cell>
          <cell r="L559" t="str">
            <v>6204.53.00.00.00</v>
          </cell>
        </row>
        <row r="560">
          <cell r="B560" t="str">
            <v>W6240R</v>
          </cell>
          <cell r="C560" t="str">
            <v>Women's Skirts</v>
          </cell>
          <cell r="D560" t="str">
            <v>Eclipse Blue</v>
          </cell>
          <cell r="E560" t="str">
            <v>92%POLYESTER 8%ELASTANE&gt;EX...</v>
          </cell>
          <cell r="F560" t="str">
            <v>CN</v>
          </cell>
          <cell r="H560">
            <v>12.27</v>
          </cell>
          <cell r="I560">
            <v>15</v>
          </cell>
          <cell r="J560">
            <v>184.05</v>
          </cell>
          <cell r="K560" t="str">
            <v>6204.53.3010</v>
          </cell>
          <cell r="L560" t="str">
            <v>6204.53.00.00.00</v>
          </cell>
        </row>
        <row r="561">
          <cell r="B561" t="str">
            <v>W6289R</v>
          </cell>
          <cell r="C561" t="str">
            <v>Women's Skirts</v>
          </cell>
          <cell r="D561" t="str">
            <v>White</v>
          </cell>
          <cell r="E561" t="str">
            <v>92%POLYESTER 8%ELASTANE&gt;EX...</v>
          </cell>
          <cell r="F561" t="str">
            <v>CN</v>
          </cell>
          <cell r="H561">
            <v>15.51</v>
          </cell>
          <cell r="I561">
            <v>24</v>
          </cell>
          <cell r="J561">
            <v>372.24</v>
          </cell>
          <cell r="K561" t="str">
            <v>6204.53.3010</v>
          </cell>
          <cell r="L561" t="str">
            <v>6204.53.00.00.00</v>
          </cell>
        </row>
        <row r="562">
          <cell r="B562" t="str">
            <v>W6289R</v>
          </cell>
          <cell r="C562" t="str">
            <v>Women's Skirts</v>
          </cell>
          <cell r="D562" t="str">
            <v>Black</v>
          </cell>
          <cell r="E562" t="str">
            <v>92%POLYESTER 8%ELASTANE&gt;EX...</v>
          </cell>
          <cell r="F562" t="str">
            <v>CN</v>
          </cell>
          <cell r="H562">
            <v>15.51</v>
          </cell>
          <cell r="I562">
            <v>29</v>
          </cell>
          <cell r="J562">
            <v>449.79</v>
          </cell>
          <cell r="K562" t="str">
            <v>6204.53.3010</v>
          </cell>
          <cell r="L562" t="str">
            <v>6204.53.00.00.00</v>
          </cell>
        </row>
        <row r="563">
          <cell r="B563" t="str">
            <v>W6433R</v>
          </cell>
          <cell r="C563" t="str">
            <v>Women's Skirts</v>
          </cell>
          <cell r="D563" t="str">
            <v>Black</v>
          </cell>
          <cell r="E563" t="str">
            <v>LAYER 1: 89%NYLON 11%ELASTAN...</v>
          </cell>
          <cell r="F563" t="str">
            <v>CN</v>
          </cell>
          <cell r="H563">
            <v>19.68</v>
          </cell>
          <cell r="I563">
            <v>12</v>
          </cell>
          <cell r="J563">
            <v>236.16</v>
          </cell>
          <cell r="K563" t="str">
            <v>6204.53.3010</v>
          </cell>
          <cell r="L563" t="str">
            <v>6204.53.00.00.00</v>
          </cell>
        </row>
        <row r="564">
          <cell r="B564" t="str">
            <v>W6433R</v>
          </cell>
          <cell r="C564" t="str">
            <v>Women's Skirts</v>
          </cell>
          <cell r="D564" t="str">
            <v>Gravel</v>
          </cell>
          <cell r="E564" t="str">
            <v>LAYER 1: 89%NYLON 11%ELASTAN...</v>
          </cell>
          <cell r="F564" t="str">
            <v>CN</v>
          </cell>
          <cell r="H564">
            <v>19.68</v>
          </cell>
          <cell r="I564">
            <v>10</v>
          </cell>
          <cell r="J564">
            <v>196.8</v>
          </cell>
          <cell r="K564" t="str">
            <v>6204.53.3010</v>
          </cell>
          <cell r="L564" t="str">
            <v>6204.53.00.00.00</v>
          </cell>
        </row>
        <row r="565">
          <cell r="B565" t="str">
            <v>W6289R</v>
          </cell>
          <cell r="C565" t="str">
            <v>Women's Skirts</v>
          </cell>
          <cell r="D565" t="str">
            <v>Black</v>
          </cell>
          <cell r="E565" t="str">
            <v>92%POLYESTER 8%ELASTANE&gt;EX...</v>
          </cell>
          <cell r="F565" t="str">
            <v>VN</v>
          </cell>
          <cell r="H565">
            <v>15</v>
          </cell>
          <cell r="I565">
            <v>51</v>
          </cell>
          <cell r="J565">
            <v>765</v>
          </cell>
          <cell r="K565" t="str">
            <v>6204.53.3010</v>
          </cell>
          <cell r="L565" t="str">
            <v>6204.53.00.00.00</v>
          </cell>
        </row>
        <row r="566">
          <cell r="B566" t="str">
            <v>W54186R</v>
          </cell>
          <cell r="C566" t="str">
            <v>Women's Trousers</v>
          </cell>
          <cell r="D566" t="str">
            <v>Black</v>
          </cell>
          <cell r="E566" t="str">
            <v>75%COTTON 11%POLYESTER 11%...</v>
          </cell>
          <cell r="F566" t="str">
            <v>CN</v>
          </cell>
          <cell r="H566">
            <v>23.85</v>
          </cell>
          <cell r="I566">
            <v>28</v>
          </cell>
          <cell r="J566">
            <v>667.8</v>
          </cell>
          <cell r="K566" t="str">
            <v>6204.62.8018</v>
          </cell>
          <cell r="L566" t="str">
            <v>6204.62.39.00.00</v>
          </cell>
        </row>
        <row r="567">
          <cell r="B567" t="str">
            <v>W54186R</v>
          </cell>
          <cell r="C567" t="str">
            <v>Women's Trousers</v>
          </cell>
          <cell r="D567" t="str">
            <v>Steel Grey</v>
          </cell>
          <cell r="E567" t="str">
            <v>75%COTTON 11%POLYESTER 11%...</v>
          </cell>
          <cell r="F567" t="str">
            <v>CN</v>
          </cell>
          <cell r="H567">
            <v>23.83</v>
          </cell>
          <cell r="I567">
            <v>14</v>
          </cell>
          <cell r="J567">
            <v>333.62</v>
          </cell>
          <cell r="K567" t="str">
            <v>6204.62.8018</v>
          </cell>
          <cell r="L567" t="str">
            <v>6204.62.39.00.00</v>
          </cell>
        </row>
        <row r="568">
          <cell r="B568" t="str">
            <v>W51436R</v>
          </cell>
          <cell r="C568" t="str">
            <v>Women's Trousers</v>
          </cell>
          <cell r="D568" t="str">
            <v>Black</v>
          </cell>
          <cell r="E568" t="str">
            <v>86%POLYESTER 14%ELASTANE</v>
          </cell>
          <cell r="F568" t="str">
            <v>CN</v>
          </cell>
          <cell r="H568">
            <v>17.190000000000001</v>
          </cell>
          <cell r="I568">
            <v>40</v>
          </cell>
          <cell r="J568">
            <v>687.6</v>
          </cell>
          <cell r="K568" t="str">
            <v>6204.63.1110</v>
          </cell>
          <cell r="L568" t="str">
            <v>6204.63.18.00.00</v>
          </cell>
        </row>
        <row r="569">
          <cell r="B569" t="str">
            <v>W51436R</v>
          </cell>
          <cell r="C569" t="str">
            <v>Women's Trousers</v>
          </cell>
          <cell r="D569" t="str">
            <v>Gravel</v>
          </cell>
          <cell r="E569" t="str">
            <v>86%POLYESTER 14%ELASTANE</v>
          </cell>
          <cell r="F569" t="str">
            <v>CN</v>
          </cell>
          <cell r="H569">
            <v>17.190000000000001</v>
          </cell>
          <cell r="I569">
            <v>18</v>
          </cell>
          <cell r="J569">
            <v>309.42</v>
          </cell>
          <cell r="K569" t="str">
            <v>6204.63.1110</v>
          </cell>
          <cell r="L569" t="str">
            <v>6204.63.18.00.00</v>
          </cell>
        </row>
        <row r="570">
          <cell r="B570" t="str">
            <v>W51423R</v>
          </cell>
          <cell r="C570" t="str">
            <v>Women's Trousers</v>
          </cell>
          <cell r="D570" t="str">
            <v>Black</v>
          </cell>
          <cell r="E570" t="str">
            <v>89%NYLON 11%ELASTANE&gt;EXCLU...</v>
          </cell>
          <cell r="F570" t="str">
            <v>CN</v>
          </cell>
          <cell r="H570">
            <v>31.09</v>
          </cell>
          <cell r="I570">
            <v>14</v>
          </cell>
          <cell r="J570">
            <v>435.26</v>
          </cell>
          <cell r="K570" t="str">
            <v>6204.63.7590</v>
          </cell>
          <cell r="L570" t="str">
            <v>6204.63.18.00.00</v>
          </cell>
        </row>
        <row r="571">
          <cell r="B571" t="str">
            <v>W51432R</v>
          </cell>
          <cell r="C571" t="str">
            <v>Women's Trousers</v>
          </cell>
          <cell r="D571" t="str">
            <v>Black</v>
          </cell>
          <cell r="E571" t="str">
            <v>86%POLYESTER 14%ELASTANE&gt;E...</v>
          </cell>
          <cell r="F571" t="str">
            <v>CN</v>
          </cell>
          <cell r="H571">
            <v>15.65</v>
          </cell>
          <cell r="I571">
            <v>40</v>
          </cell>
          <cell r="J571">
            <v>626</v>
          </cell>
          <cell r="K571" t="str">
            <v>6204.63.9010</v>
          </cell>
          <cell r="L571" t="str">
            <v>6204.63.18.00.00</v>
          </cell>
        </row>
        <row r="572">
          <cell r="B572" t="str">
            <v>W51432R</v>
          </cell>
          <cell r="C572" t="str">
            <v>Women's Trousers</v>
          </cell>
          <cell r="D572" t="str">
            <v>Navy</v>
          </cell>
          <cell r="E572" t="str">
            <v>86%POLYESTER 14%ELASTANE&gt;E...</v>
          </cell>
          <cell r="F572" t="str">
            <v>CN</v>
          </cell>
          <cell r="H572">
            <v>15.65</v>
          </cell>
          <cell r="I572">
            <v>24</v>
          </cell>
          <cell r="J572">
            <v>375.6</v>
          </cell>
          <cell r="K572" t="str">
            <v>6204.63.9010</v>
          </cell>
          <cell r="L572" t="str">
            <v>6204.63.18.00.00</v>
          </cell>
        </row>
        <row r="573">
          <cell r="B573" t="str">
            <v>W51432R</v>
          </cell>
          <cell r="C573" t="str">
            <v>Women's Trousers</v>
          </cell>
          <cell r="D573" t="str">
            <v>Steel Grey</v>
          </cell>
          <cell r="E573" t="str">
            <v>86%POLYESTER 14%ELASTANE&gt;E...</v>
          </cell>
          <cell r="F573" t="str">
            <v>VN</v>
          </cell>
          <cell r="H573">
            <v>16.149999999999999</v>
          </cell>
          <cell r="I573">
            <v>18</v>
          </cell>
          <cell r="J573">
            <v>290.7</v>
          </cell>
          <cell r="K573" t="str">
            <v>6204.63.9010</v>
          </cell>
          <cell r="L573" t="str">
            <v>6204.63.18.00.00</v>
          </cell>
        </row>
        <row r="574">
          <cell r="B574" t="str">
            <v>W6273R</v>
          </cell>
          <cell r="C574" t="str">
            <v>Women's Shorts</v>
          </cell>
          <cell r="D574" t="str">
            <v>White</v>
          </cell>
          <cell r="E574" t="str">
            <v>100%NYLON</v>
          </cell>
          <cell r="F574" t="str">
            <v>VN</v>
          </cell>
          <cell r="H574">
            <v>11.36</v>
          </cell>
          <cell r="I574">
            <v>12</v>
          </cell>
          <cell r="J574">
            <v>136.32</v>
          </cell>
          <cell r="K574" t="str">
            <v>6204.63.9032</v>
          </cell>
          <cell r="L574" t="str">
            <v>6204.63.18.00.00</v>
          </cell>
        </row>
        <row r="575">
          <cell r="B575" t="str">
            <v>W6273R</v>
          </cell>
          <cell r="C575" t="str">
            <v>Women's Shorts</v>
          </cell>
          <cell r="D575" t="str">
            <v>Black</v>
          </cell>
          <cell r="E575" t="str">
            <v>100%NYLON</v>
          </cell>
          <cell r="F575" t="str">
            <v>VN</v>
          </cell>
          <cell r="H575">
            <v>11.36</v>
          </cell>
          <cell r="I575">
            <v>12</v>
          </cell>
          <cell r="J575">
            <v>136.32</v>
          </cell>
          <cell r="K575" t="str">
            <v>6204.63.9032</v>
          </cell>
          <cell r="L575" t="str">
            <v>6204.63.18.00.00</v>
          </cell>
        </row>
        <row r="576">
          <cell r="B576" t="str">
            <v>W6334R</v>
          </cell>
          <cell r="C576" t="str">
            <v>Women's Shorts</v>
          </cell>
          <cell r="D576" t="str">
            <v>Black</v>
          </cell>
          <cell r="E576" t="str">
            <v>LAYER 1 &amp; LAYER 2: 92%POLYEST...</v>
          </cell>
          <cell r="F576" t="str">
            <v>VN</v>
          </cell>
          <cell r="H576">
            <v>14.29</v>
          </cell>
          <cell r="I576">
            <v>18</v>
          </cell>
          <cell r="J576">
            <v>257.22000000000003</v>
          </cell>
          <cell r="K576" t="str">
            <v>6204.63.9032</v>
          </cell>
          <cell r="L576" t="str">
            <v>6204.63.18.00.00</v>
          </cell>
        </row>
        <row r="577">
          <cell r="B577" t="str">
            <v>W54174R</v>
          </cell>
          <cell r="C577" t="str">
            <v>Women's Trousers</v>
          </cell>
          <cell r="D577" t="str">
            <v>Black</v>
          </cell>
          <cell r="E577" t="str">
            <v>88%RECYCLED POLYESTER 12%ELASTANE</v>
          </cell>
          <cell r="F577" t="str">
            <v>VN</v>
          </cell>
          <cell r="H577">
            <v>20.77</v>
          </cell>
          <cell r="I577">
            <v>29</v>
          </cell>
          <cell r="J577">
            <v>602.33000000000004</v>
          </cell>
          <cell r="K577" t="str">
            <v>6204.69.2510</v>
          </cell>
          <cell r="L577" t="str">
            <v>6204.69.18.00.00</v>
          </cell>
        </row>
        <row r="578">
          <cell r="B578" t="str">
            <v>AWDNGG1006</v>
          </cell>
          <cell r="C578" t="str">
            <v>MA QUAD HIGH RISE WIDE</v>
          </cell>
          <cell r="E578" t="str">
            <v>100% COTTON</v>
          </cell>
          <cell r="F578" t="str">
            <v>IT</v>
          </cell>
          <cell r="H578">
            <v>247.8</v>
          </cell>
          <cell r="I578">
            <v>6</v>
          </cell>
          <cell r="J578">
            <v>1486.8000000000002</v>
          </cell>
          <cell r="K578" t="str">
            <v>62046231</v>
          </cell>
          <cell r="L578" t="str">
            <v>6204.62.31.00.00</v>
          </cell>
        </row>
        <row r="579">
          <cell r="B579" t="str">
            <v>AWSHCA1021</v>
          </cell>
          <cell r="C579" t="str">
            <v>MA QUAD BOXER SHORT</v>
          </cell>
          <cell r="E579" t="str">
            <v>100% SILK</v>
          </cell>
          <cell r="F579" t="str">
            <v>IT</v>
          </cell>
          <cell r="H579">
            <v>200.9</v>
          </cell>
          <cell r="I579">
            <v>3</v>
          </cell>
          <cell r="J579">
            <v>602.70000000000005</v>
          </cell>
          <cell r="K579" t="str">
            <v>62046990</v>
          </cell>
          <cell r="L579" t="str">
            <v>6204.69.90.00.00</v>
          </cell>
        </row>
        <row r="580">
          <cell r="B580" t="str">
            <v>AMDNLS1005</v>
          </cell>
          <cell r="C580" t="str">
            <v>MA QUAD INTERIOR L/S SHIRT</v>
          </cell>
          <cell r="E580" t="str">
            <v>100% COTTON</v>
          </cell>
          <cell r="F580" t="str">
            <v>IT</v>
          </cell>
          <cell r="H580">
            <v>297</v>
          </cell>
          <cell r="I580">
            <v>4</v>
          </cell>
          <cell r="J580">
            <v>1188</v>
          </cell>
          <cell r="K580" t="str">
            <v>62052000</v>
          </cell>
          <cell r="L580" t="str">
            <v>6205.20.00.00.18</v>
          </cell>
        </row>
        <row r="581">
          <cell r="B581" t="str">
            <v>AMSTCA1075</v>
          </cell>
          <cell r="C581" t="str">
            <v>MA QUAD BOWLING SHIRT</v>
          </cell>
          <cell r="E581" t="str">
            <v>100% COTTON</v>
          </cell>
          <cell r="F581" t="str">
            <v>IT</v>
          </cell>
          <cell r="H581">
            <v>230.3</v>
          </cell>
          <cell r="I581">
            <v>16</v>
          </cell>
          <cell r="J581">
            <v>3684.8</v>
          </cell>
          <cell r="K581" t="str">
            <v>62052000</v>
          </cell>
          <cell r="L581" t="str">
            <v>6205.20.00.00.18</v>
          </cell>
        </row>
        <row r="582">
          <cell r="B582" t="str">
            <v>AMSTCA1070</v>
          </cell>
          <cell r="C582" t="str">
            <v>MA QUAD JACQUARD CAMP SHIRT</v>
          </cell>
          <cell r="E582" t="str">
            <v>100% VISCOSE</v>
          </cell>
          <cell r="F582" t="str">
            <v>IT</v>
          </cell>
          <cell r="H582">
            <v>276.5</v>
          </cell>
          <cell r="I582">
            <v>10</v>
          </cell>
          <cell r="J582">
            <v>2765</v>
          </cell>
          <cell r="K582" t="str">
            <v>62053000</v>
          </cell>
          <cell r="L582" t="str">
            <v>6205.30.00.00.00</v>
          </cell>
        </row>
        <row r="583">
          <cell r="B583" t="str">
            <v>AMSTCA1078</v>
          </cell>
          <cell r="C583" t="str">
            <v>AMIRI POOL CUE BOWLING SHIRT</v>
          </cell>
          <cell r="E583" t="str">
            <v>100% VISCOSE</v>
          </cell>
          <cell r="F583" t="str">
            <v>IT</v>
          </cell>
          <cell r="H583">
            <v>230.3</v>
          </cell>
          <cell r="I583">
            <v>9</v>
          </cell>
          <cell r="J583">
            <v>2072.7000000000003</v>
          </cell>
          <cell r="K583" t="str">
            <v>62053000</v>
          </cell>
          <cell r="L583" t="str">
            <v>6205.30.00.00.00</v>
          </cell>
        </row>
        <row r="584">
          <cell r="B584" t="str">
            <v>AMSTCA1080</v>
          </cell>
          <cell r="C584" t="str">
            <v>MA QUAD BOWLING SHIRT</v>
          </cell>
          <cell r="E584" t="str">
            <v>100% VISCOSE</v>
          </cell>
          <cell r="F584" t="str">
            <v>IT</v>
          </cell>
          <cell r="H584">
            <v>259</v>
          </cell>
          <cell r="I584">
            <v>15</v>
          </cell>
          <cell r="J584">
            <v>3885</v>
          </cell>
          <cell r="K584" t="str">
            <v>62053000</v>
          </cell>
          <cell r="L584" t="str">
            <v>6205.30.00.00.00</v>
          </cell>
        </row>
        <row r="585">
          <cell r="B585" t="str">
            <v>AMKNIR1004</v>
          </cell>
          <cell r="C585" t="str">
            <v>MA SWIRL RETRO POLO</v>
          </cell>
          <cell r="E585" t="str">
            <v>100% WOOL</v>
          </cell>
          <cell r="F585" t="str">
            <v>IT</v>
          </cell>
          <cell r="H585">
            <v>327</v>
          </cell>
          <cell r="I585">
            <v>5</v>
          </cell>
          <cell r="J585">
            <v>1635</v>
          </cell>
          <cell r="K585" t="str">
            <v>62059080</v>
          </cell>
          <cell r="L585" t="str">
            <v>6205.90.80.00.18</v>
          </cell>
        </row>
        <row r="586">
          <cell r="B586" t="str">
            <v>AMKNPO1035</v>
          </cell>
          <cell r="C586" t="str">
            <v>MA QUAD POLO</v>
          </cell>
          <cell r="E586" t="str">
            <v>63% WOOL 37% VISCOSE</v>
          </cell>
          <cell r="F586" t="str">
            <v>IT</v>
          </cell>
          <cell r="H586">
            <v>297</v>
          </cell>
          <cell r="I586">
            <v>9</v>
          </cell>
          <cell r="J586">
            <v>2673</v>
          </cell>
          <cell r="K586" t="str">
            <v>62059080</v>
          </cell>
          <cell r="L586" t="str">
            <v>6205.90.80.00.18</v>
          </cell>
        </row>
        <row r="587">
          <cell r="B587" t="str">
            <v>AMSTCA1033</v>
          </cell>
          <cell r="C587" t="str">
            <v>MA QUAD BOWLING SHIRT</v>
          </cell>
          <cell r="E587" t="str">
            <v>100% SILK</v>
          </cell>
          <cell r="F587" t="str">
            <v>IT</v>
          </cell>
          <cell r="H587">
            <v>297</v>
          </cell>
          <cell r="I587">
            <v>9</v>
          </cell>
          <cell r="J587">
            <v>2673</v>
          </cell>
          <cell r="K587" t="str">
            <v>62059080</v>
          </cell>
          <cell r="L587" t="str">
            <v>6205.90.80.00.18</v>
          </cell>
        </row>
        <row r="588">
          <cell r="B588" t="str">
            <v>AMSTCA1082</v>
          </cell>
          <cell r="C588" t="str">
            <v>AMIRI POOL HALL BOWLING SHIRT</v>
          </cell>
          <cell r="E588" t="str">
            <v>100% SILK</v>
          </cell>
          <cell r="F588" t="str">
            <v>IT</v>
          </cell>
          <cell r="H588">
            <v>317.10000000000002</v>
          </cell>
          <cell r="I588">
            <v>8</v>
          </cell>
          <cell r="J588">
            <v>2536.8000000000002</v>
          </cell>
          <cell r="K588" t="str">
            <v>62059080</v>
          </cell>
          <cell r="L588" t="str">
            <v>6205.90.80.00.18</v>
          </cell>
        </row>
        <row r="589">
          <cell r="B589" t="str">
            <v>W3732R</v>
          </cell>
          <cell r="C589" t="str">
            <v>Women's Long Sleeve Tops</v>
          </cell>
          <cell r="D589" t="str">
            <v>White</v>
          </cell>
          <cell r="E589" t="str">
            <v>88%POLYESTER 12%ELASTANE</v>
          </cell>
          <cell r="F589" t="str">
            <v>VN</v>
          </cell>
          <cell r="H589">
            <v>17.82</v>
          </cell>
          <cell r="I589">
            <v>16</v>
          </cell>
          <cell r="J589">
            <v>285.12</v>
          </cell>
          <cell r="K589" t="str">
            <v>6206.40.3035</v>
          </cell>
          <cell r="L589" t="str">
            <v>6206.40.00.00.00</v>
          </cell>
        </row>
        <row r="590">
          <cell r="B590" t="str">
            <v>W3732R</v>
          </cell>
          <cell r="C590" t="str">
            <v>Women's Long Sleeve Tops</v>
          </cell>
          <cell r="D590" t="str">
            <v>Black</v>
          </cell>
          <cell r="E590" t="str">
            <v>88%POLYESTER 12%ELASTANE</v>
          </cell>
          <cell r="F590" t="str">
            <v>VN</v>
          </cell>
          <cell r="H590">
            <v>17.82</v>
          </cell>
          <cell r="I590">
            <v>16</v>
          </cell>
          <cell r="J590">
            <v>285.12</v>
          </cell>
          <cell r="K590" t="str">
            <v>6206.40.3035</v>
          </cell>
          <cell r="L590" t="str">
            <v>6206.40.00.00.00</v>
          </cell>
        </row>
        <row r="591">
          <cell r="B591" t="str">
            <v>W3732R</v>
          </cell>
          <cell r="C591" t="str">
            <v>Women's Long Sleeve Tops</v>
          </cell>
          <cell r="D591" t="str">
            <v>White</v>
          </cell>
          <cell r="E591" t="str">
            <v>88%POLYESTER 12%ELASTANE</v>
          </cell>
          <cell r="F591" t="str">
            <v>PH</v>
          </cell>
          <cell r="H591">
            <v>17.29</v>
          </cell>
          <cell r="I591">
            <v>41</v>
          </cell>
          <cell r="J591">
            <v>708.89</v>
          </cell>
          <cell r="K591" t="str">
            <v>6206.40.3035</v>
          </cell>
          <cell r="L591" t="str">
            <v>6206.40.00.00.00</v>
          </cell>
        </row>
        <row r="592">
          <cell r="B592" t="str">
            <v>W3732R</v>
          </cell>
          <cell r="C592" t="str">
            <v>Women's Long Sleeve Tops</v>
          </cell>
          <cell r="D592" t="str">
            <v>Black</v>
          </cell>
          <cell r="E592" t="str">
            <v>88%POLYESTER 12%ELASTANE</v>
          </cell>
          <cell r="F592" t="str">
            <v>PH</v>
          </cell>
          <cell r="H592">
            <v>17.29</v>
          </cell>
          <cell r="I592">
            <v>50</v>
          </cell>
          <cell r="J592">
            <v>864.5</v>
          </cell>
          <cell r="K592" t="str">
            <v>6206.40.3035</v>
          </cell>
          <cell r="L592" t="str">
            <v>6206.40.00.00.00</v>
          </cell>
        </row>
        <row r="593">
          <cell r="B593" t="str">
            <v>AWSTCA1024</v>
          </cell>
          <cell r="C593" t="str">
            <v>MA QUAD SHIRT</v>
          </cell>
          <cell r="E593" t="str">
            <v>100% SILK</v>
          </cell>
          <cell r="F593" t="str">
            <v>IT</v>
          </cell>
          <cell r="H593">
            <v>288.39999999999998</v>
          </cell>
          <cell r="I593">
            <v>4</v>
          </cell>
          <cell r="J593">
            <v>1153.5999999999999</v>
          </cell>
          <cell r="K593" t="str">
            <v>62061000</v>
          </cell>
          <cell r="L593" t="str">
            <v>6206.10.00.00.00</v>
          </cell>
        </row>
        <row r="594">
          <cell r="B594" t="str">
            <v>AWSTCA1025</v>
          </cell>
          <cell r="C594" t="str">
            <v>MA QUAD PJ SHIRT</v>
          </cell>
          <cell r="E594" t="str">
            <v>100% SILK</v>
          </cell>
          <cell r="F594" t="str">
            <v>IT</v>
          </cell>
          <cell r="H594">
            <v>346.5</v>
          </cell>
          <cell r="I594">
            <v>3</v>
          </cell>
          <cell r="J594">
            <v>1039.5</v>
          </cell>
          <cell r="K594" t="str">
            <v>62061000</v>
          </cell>
          <cell r="L594" t="str">
            <v>6206.10.00.00.00</v>
          </cell>
        </row>
        <row r="595">
          <cell r="B595" t="str">
            <v>W4460R</v>
          </cell>
          <cell r="C595" t="str">
            <v>Women's Outerwear</v>
          </cell>
          <cell r="D595" t="str">
            <v>Black</v>
          </cell>
          <cell r="E595" t="str">
            <v>BASE: 100%RAYON &gt;COATING: PO...</v>
          </cell>
          <cell r="F595" t="str">
            <v>CN</v>
          </cell>
          <cell r="H595">
            <v>59.68</v>
          </cell>
          <cell r="I595">
            <v>6</v>
          </cell>
          <cell r="J595">
            <v>358.08</v>
          </cell>
          <cell r="K595" t="str">
            <v>6210.30.3000</v>
          </cell>
          <cell r="L595" t="str">
            <v>6210.30.00.00.00</v>
          </cell>
        </row>
        <row r="596">
          <cell r="B596" t="str">
            <v>W4460R</v>
          </cell>
          <cell r="C596" t="str">
            <v>Women's Outerwear</v>
          </cell>
          <cell r="D596" t="str">
            <v>Ivory</v>
          </cell>
          <cell r="E596" t="str">
            <v>BASE: 100%RAYON &gt;COATING: PO...</v>
          </cell>
          <cell r="F596" t="str">
            <v>CN</v>
          </cell>
          <cell r="H596">
            <v>59.68</v>
          </cell>
          <cell r="I596">
            <v>6</v>
          </cell>
          <cell r="J596">
            <v>358.08</v>
          </cell>
          <cell r="K596" t="str">
            <v>6210.30.3000</v>
          </cell>
          <cell r="L596" t="str">
            <v>6210.30.00.00.00</v>
          </cell>
        </row>
        <row r="597">
          <cell r="B597" t="str">
            <v>AWDNBU1012</v>
          </cell>
          <cell r="C597" t="str">
            <v>MA QUAD ZIP CORSET</v>
          </cell>
          <cell r="E597" t="str">
            <v>97% COTTON 3% ELASTNE</v>
          </cell>
          <cell r="F597" t="str">
            <v>IT</v>
          </cell>
          <cell r="H597">
            <v>230.3</v>
          </cell>
          <cell r="I597">
            <v>4</v>
          </cell>
          <cell r="J597">
            <v>921.2</v>
          </cell>
          <cell r="K597" t="str">
            <v>62114290</v>
          </cell>
          <cell r="L597" t="str">
            <v>6211.42.90.00.00</v>
          </cell>
        </row>
        <row r="598">
          <cell r="B598" t="str">
            <v>AWKNTE1012</v>
          </cell>
          <cell r="C598" t="str">
            <v>MA QUAD TEE</v>
          </cell>
          <cell r="E598" t="str">
            <v>100% WOOL</v>
          </cell>
          <cell r="F598" t="str">
            <v>IT</v>
          </cell>
          <cell r="H598">
            <v>218.4</v>
          </cell>
          <cell r="I598">
            <v>7</v>
          </cell>
          <cell r="J598">
            <v>1528.8</v>
          </cell>
          <cell r="K598" t="str">
            <v>62114900</v>
          </cell>
          <cell r="L598" t="str">
            <v>6211.49.00.00.19</v>
          </cell>
        </row>
        <row r="599">
          <cell r="B599" t="str">
            <v>W9535R</v>
          </cell>
          <cell r="C599" t="str">
            <v>Women's Bras</v>
          </cell>
          <cell r="D599" t="str">
            <v>Black</v>
          </cell>
          <cell r="E599" t="str">
            <v>79%COTTON 15%NYLON 6%ELASTANE</v>
          </cell>
          <cell r="F599" t="str">
            <v>CN</v>
          </cell>
          <cell r="H599">
            <v>5.75</v>
          </cell>
          <cell r="I599">
            <v>18</v>
          </cell>
          <cell r="J599">
            <v>103.5</v>
          </cell>
          <cell r="K599" t="str">
            <v>6212.10.9010</v>
          </cell>
          <cell r="L599" t="str">
            <v>6212.10.90.00.00</v>
          </cell>
        </row>
        <row r="600">
          <cell r="B600" t="str">
            <v>W9535R</v>
          </cell>
          <cell r="C600" t="str">
            <v>Women's Bras</v>
          </cell>
          <cell r="D600" t="str">
            <v>Ivory</v>
          </cell>
          <cell r="E600" t="str">
            <v>79%COTTON 15%NYLON 6%ELASTANE</v>
          </cell>
          <cell r="F600" t="str">
            <v>CN</v>
          </cell>
          <cell r="H600">
            <v>5.75</v>
          </cell>
          <cell r="I600">
            <v>18</v>
          </cell>
          <cell r="J600">
            <v>103.5</v>
          </cell>
          <cell r="K600" t="str">
            <v>6212.10.9010</v>
          </cell>
          <cell r="L600" t="str">
            <v>6212.10.90.00.00</v>
          </cell>
        </row>
        <row r="601">
          <cell r="B601" t="str">
            <v>W9536R</v>
          </cell>
          <cell r="C601" t="str">
            <v>Women's Tanks</v>
          </cell>
          <cell r="D601" t="str">
            <v>White</v>
          </cell>
          <cell r="E601" t="str">
            <v>79%COTTON 15%NYLON 6%ELASTANE</v>
          </cell>
          <cell r="F601" t="str">
            <v>CN</v>
          </cell>
          <cell r="H601">
            <v>6.5</v>
          </cell>
          <cell r="I601">
            <v>31</v>
          </cell>
          <cell r="J601">
            <v>201.5</v>
          </cell>
          <cell r="K601" t="str">
            <v>6212.10.9010</v>
          </cell>
          <cell r="L601" t="str">
            <v>6212.10.90.00.00</v>
          </cell>
        </row>
        <row r="602">
          <cell r="B602" t="str">
            <v>W9536R</v>
          </cell>
          <cell r="C602" t="str">
            <v>Women's Tanks</v>
          </cell>
          <cell r="D602" t="str">
            <v>Black</v>
          </cell>
          <cell r="E602" t="str">
            <v>79%COTTON 15%NYLON 6%ELASTANE</v>
          </cell>
          <cell r="F602" t="str">
            <v>CN</v>
          </cell>
          <cell r="H602">
            <v>6.5</v>
          </cell>
          <cell r="I602">
            <v>31</v>
          </cell>
          <cell r="J602">
            <v>201.5</v>
          </cell>
          <cell r="K602" t="str">
            <v>6212.10.9010</v>
          </cell>
          <cell r="L602" t="str">
            <v>6212.10.90.00.00</v>
          </cell>
        </row>
        <row r="603">
          <cell r="B603" t="str">
            <v>W9536R</v>
          </cell>
          <cell r="C603" t="str">
            <v>Women's Tanks</v>
          </cell>
          <cell r="D603" t="str">
            <v>Athletic Heather Grey</v>
          </cell>
          <cell r="E603" t="str">
            <v>79%COTTON 15%NYLON 6%ELASTANE</v>
          </cell>
          <cell r="F603" t="str">
            <v>CN</v>
          </cell>
          <cell r="H603">
            <v>6.5</v>
          </cell>
          <cell r="I603">
            <v>24</v>
          </cell>
          <cell r="J603">
            <v>156</v>
          </cell>
          <cell r="K603" t="str">
            <v>6212.10.9010</v>
          </cell>
          <cell r="L603" t="str">
            <v>6212.10.90.00.00</v>
          </cell>
        </row>
        <row r="604">
          <cell r="B604" t="str">
            <v>W9536R</v>
          </cell>
          <cell r="C604" t="str">
            <v>Women's Tanks</v>
          </cell>
          <cell r="D604" t="str">
            <v>Oatmeal Heather</v>
          </cell>
          <cell r="E604" t="str">
            <v>79%COTTON 15%NYLON 6%ELASTANE</v>
          </cell>
          <cell r="F604" t="str">
            <v>CN</v>
          </cell>
          <cell r="H604">
            <v>7</v>
          </cell>
          <cell r="I604">
            <v>24</v>
          </cell>
          <cell r="J604">
            <v>168</v>
          </cell>
          <cell r="K604" t="str">
            <v>6212.10.9010</v>
          </cell>
          <cell r="L604" t="str">
            <v>6212.10.90.00.00</v>
          </cell>
        </row>
        <row r="605">
          <cell r="B605" t="str">
            <v>W9616R</v>
          </cell>
          <cell r="C605" t="str">
            <v>Women's Tanks</v>
          </cell>
          <cell r="D605" t="str">
            <v>Black</v>
          </cell>
          <cell r="E605" t="str">
            <v>95%NYLON 5%ELASTANE</v>
          </cell>
          <cell r="F605" t="str">
            <v>CN</v>
          </cell>
          <cell r="H605">
            <v>12.25</v>
          </cell>
          <cell r="I605">
            <v>41</v>
          </cell>
          <cell r="J605">
            <v>502.25</v>
          </cell>
          <cell r="K605" t="str">
            <v>6212.10.9020</v>
          </cell>
          <cell r="L605" t="str">
            <v>6212.10.90.00.00</v>
          </cell>
        </row>
        <row r="606">
          <cell r="B606" t="str">
            <v>W9351RG</v>
          </cell>
          <cell r="C606" t="str">
            <v>Women's Bras</v>
          </cell>
          <cell r="D606" t="str">
            <v>White/Black</v>
          </cell>
          <cell r="E606" t="str">
            <v>SHELL: 87%NYLON 13%ELASTANE...</v>
          </cell>
          <cell r="F606" t="str">
            <v>CN</v>
          </cell>
          <cell r="H606">
            <v>9.9</v>
          </cell>
          <cell r="I606">
            <v>24</v>
          </cell>
          <cell r="J606">
            <v>237.6</v>
          </cell>
          <cell r="K606" t="str">
            <v>6212.10.9020</v>
          </cell>
          <cell r="L606" t="str">
            <v>6212.10.90.00.00</v>
          </cell>
        </row>
        <row r="607">
          <cell r="B607" t="str">
            <v>W9351RG</v>
          </cell>
          <cell r="C607" t="str">
            <v>Women's Bras</v>
          </cell>
          <cell r="D607" t="str">
            <v>Black/White</v>
          </cell>
          <cell r="E607" t="str">
            <v>SHELL: 87%NYLON 13%ELASTANE...</v>
          </cell>
          <cell r="F607" t="str">
            <v>CN</v>
          </cell>
          <cell r="H607">
            <v>9.9</v>
          </cell>
          <cell r="I607">
            <v>24</v>
          </cell>
          <cell r="J607">
            <v>237.6</v>
          </cell>
          <cell r="K607" t="str">
            <v>6212.10.9020</v>
          </cell>
          <cell r="L607" t="str">
            <v>6212.10.90.00.00</v>
          </cell>
        </row>
        <row r="608">
          <cell r="B608" t="str">
            <v>W9514R</v>
          </cell>
          <cell r="C608" t="str">
            <v>Women's Undergarments</v>
          </cell>
          <cell r="D608" t="str">
            <v>White</v>
          </cell>
          <cell r="E608" t="str">
            <v>82%NYLON 18%ELASTANE</v>
          </cell>
          <cell r="F608" t="str">
            <v>CN</v>
          </cell>
          <cell r="H608">
            <v>6.59</v>
          </cell>
          <cell r="I608">
            <v>19</v>
          </cell>
          <cell r="J608">
            <v>125.21</v>
          </cell>
          <cell r="K608" t="str">
            <v>6212.10.9020</v>
          </cell>
          <cell r="L608" t="str">
            <v>6212.10.90.00.00</v>
          </cell>
        </row>
        <row r="609">
          <cell r="B609" t="str">
            <v>W9514R</v>
          </cell>
          <cell r="C609" t="str">
            <v>Women's Undergarments</v>
          </cell>
          <cell r="D609" t="str">
            <v>Champagne</v>
          </cell>
          <cell r="E609" t="str">
            <v>82%NYLON 18%ELASTANE</v>
          </cell>
          <cell r="F609" t="str">
            <v>CN</v>
          </cell>
          <cell r="H609">
            <v>6.59</v>
          </cell>
          <cell r="I609">
            <v>19</v>
          </cell>
          <cell r="J609">
            <v>125.21</v>
          </cell>
          <cell r="K609" t="str">
            <v>6212.10.9020</v>
          </cell>
          <cell r="L609" t="str">
            <v>6212.10.90.00.00</v>
          </cell>
        </row>
        <row r="610">
          <cell r="B610" t="str">
            <v>W9514R</v>
          </cell>
          <cell r="C610" t="str">
            <v>Women's Undergarments</v>
          </cell>
          <cell r="D610" t="str">
            <v>Black</v>
          </cell>
          <cell r="E610" t="str">
            <v>82%NYLON 18%ELASTANE</v>
          </cell>
          <cell r="F610" t="str">
            <v>CN</v>
          </cell>
          <cell r="H610">
            <v>6.59</v>
          </cell>
          <cell r="I610">
            <v>31</v>
          </cell>
          <cell r="J610">
            <v>204.29</v>
          </cell>
          <cell r="K610" t="str">
            <v>6212.10.9020</v>
          </cell>
          <cell r="L610" t="str">
            <v>6212.10.90.00.00</v>
          </cell>
        </row>
        <row r="611">
          <cell r="B611" t="str">
            <v>W9533R</v>
          </cell>
          <cell r="C611" t="str">
            <v>Women's Bras</v>
          </cell>
          <cell r="D611" t="str">
            <v>Black</v>
          </cell>
          <cell r="E611" t="str">
            <v>SHELL: 77%POLYESTER 23%ELAST...</v>
          </cell>
          <cell r="F611" t="str">
            <v>CN</v>
          </cell>
          <cell r="H611">
            <v>14.44</v>
          </cell>
          <cell r="I611">
            <v>24</v>
          </cell>
          <cell r="J611">
            <v>346.56</v>
          </cell>
          <cell r="K611" t="str">
            <v>6212.10.9020</v>
          </cell>
          <cell r="L611" t="str">
            <v>6212.10.90.00.00</v>
          </cell>
        </row>
        <row r="612">
          <cell r="B612" t="str">
            <v>W9533R</v>
          </cell>
          <cell r="C612" t="str">
            <v>Women's Bras</v>
          </cell>
          <cell r="D612" t="str">
            <v>Navy</v>
          </cell>
          <cell r="E612" t="str">
            <v>SHELL: 77%POLYESTER 23%ELAST...</v>
          </cell>
          <cell r="F612" t="str">
            <v>CN</v>
          </cell>
          <cell r="H612">
            <v>14.44</v>
          </cell>
          <cell r="I612">
            <v>9</v>
          </cell>
          <cell r="J612">
            <v>129.96</v>
          </cell>
          <cell r="K612" t="str">
            <v>6212.10.9020</v>
          </cell>
          <cell r="L612" t="str">
            <v>6212.10.90.00.00</v>
          </cell>
        </row>
        <row r="613">
          <cell r="B613" t="str">
            <v>W9533R</v>
          </cell>
          <cell r="C613" t="str">
            <v>Women's Bras</v>
          </cell>
          <cell r="D613" t="str">
            <v>Eclipse Blue</v>
          </cell>
          <cell r="E613" t="str">
            <v>SHELL: 77%POLYESTER 23%ELAST...</v>
          </cell>
          <cell r="F613" t="str">
            <v>CN</v>
          </cell>
          <cell r="H613">
            <v>14.56</v>
          </cell>
          <cell r="I613">
            <v>15</v>
          </cell>
          <cell r="J613">
            <v>218.4</v>
          </cell>
          <cell r="K613" t="str">
            <v>6212.10.9020</v>
          </cell>
          <cell r="L613" t="str">
            <v>6212.10.90.00.00</v>
          </cell>
        </row>
        <row r="614">
          <cell r="B614" t="str">
            <v>W9538R</v>
          </cell>
          <cell r="C614" t="str">
            <v>Women's Tanks</v>
          </cell>
          <cell r="D614" t="str">
            <v>Ivory/Black</v>
          </cell>
          <cell r="E614" t="str">
            <v>SHELL: 87%NYLON 13%ELASTANE...</v>
          </cell>
          <cell r="F614" t="str">
            <v>CN</v>
          </cell>
          <cell r="H614">
            <v>12.1</v>
          </cell>
          <cell r="I614">
            <v>18</v>
          </cell>
          <cell r="J614">
            <v>217.8</v>
          </cell>
          <cell r="K614" t="str">
            <v>6212.10.9020</v>
          </cell>
          <cell r="L614" t="str">
            <v>6212.10.90.00.00</v>
          </cell>
        </row>
        <row r="615">
          <cell r="B615" t="str">
            <v>W9555R</v>
          </cell>
          <cell r="C615" t="str">
            <v>Women's Bras</v>
          </cell>
          <cell r="D615" t="str">
            <v>Black</v>
          </cell>
          <cell r="E615" t="str">
            <v>SHELL: 77%POLYESTER 23%ELAST...</v>
          </cell>
          <cell r="F615" t="str">
            <v>CN</v>
          </cell>
          <cell r="H615">
            <v>11.17</v>
          </cell>
          <cell r="I615">
            <v>24</v>
          </cell>
          <cell r="J615">
            <v>268.08</v>
          </cell>
          <cell r="K615" t="str">
            <v>6212.10.9020</v>
          </cell>
          <cell r="L615" t="str">
            <v>6212.10.90.00.00</v>
          </cell>
        </row>
        <row r="616">
          <cell r="B616" t="str">
            <v>W9557R</v>
          </cell>
          <cell r="C616" t="str">
            <v>Women's Bras</v>
          </cell>
          <cell r="D616" t="str">
            <v>Black</v>
          </cell>
          <cell r="E616" t="str">
            <v>SHELL: 77%POLYESTER 23%ELAST...</v>
          </cell>
          <cell r="F616" t="str">
            <v>CN</v>
          </cell>
          <cell r="H616">
            <v>9.18</v>
          </cell>
          <cell r="I616">
            <v>31</v>
          </cell>
          <cell r="J616">
            <v>284.58</v>
          </cell>
          <cell r="K616" t="str">
            <v>6212.10.9020</v>
          </cell>
          <cell r="L616" t="str">
            <v>6212.10.90.00.00</v>
          </cell>
        </row>
        <row r="617">
          <cell r="B617" t="str">
            <v>W9557R</v>
          </cell>
          <cell r="C617" t="str">
            <v>Women's Bras</v>
          </cell>
          <cell r="D617" t="str">
            <v>Navy</v>
          </cell>
          <cell r="E617" t="str">
            <v>SHELL: 77%POLYESTER 23%ELAST...</v>
          </cell>
          <cell r="F617" t="str">
            <v>CN</v>
          </cell>
          <cell r="H617">
            <v>9.18</v>
          </cell>
          <cell r="I617">
            <v>31</v>
          </cell>
          <cell r="J617">
            <v>284.58</v>
          </cell>
          <cell r="K617" t="str">
            <v>6212.10.9020</v>
          </cell>
          <cell r="L617" t="str">
            <v>6212.10.90.00.00</v>
          </cell>
        </row>
        <row r="618">
          <cell r="B618" t="str">
            <v>W9557R</v>
          </cell>
          <cell r="C618" t="str">
            <v>Women's Bras</v>
          </cell>
          <cell r="D618" t="str">
            <v>Espresso</v>
          </cell>
          <cell r="E618" t="str">
            <v>SHELL: 77%POLYESTER 23%ELAST...</v>
          </cell>
          <cell r="F618" t="str">
            <v>CN</v>
          </cell>
          <cell r="H618">
            <v>9.18</v>
          </cell>
          <cell r="I618">
            <v>31</v>
          </cell>
          <cell r="J618">
            <v>284.58</v>
          </cell>
          <cell r="K618" t="str">
            <v>6212.10.9020</v>
          </cell>
          <cell r="L618" t="str">
            <v>6212.10.90.00.00</v>
          </cell>
        </row>
        <row r="619">
          <cell r="B619" t="str">
            <v>W9557R</v>
          </cell>
          <cell r="C619" t="str">
            <v>Women's Bras</v>
          </cell>
          <cell r="D619" t="str">
            <v>Toasted Almond</v>
          </cell>
          <cell r="E619" t="str">
            <v>SHELL: 77%POLYESTER 23%ELAST...</v>
          </cell>
          <cell r="F619" t="str">
            <v>VN</v>
          </cell>
          <cell r="H619">
            <v>9.42</v>
          </cell>
          <cell r="I619">
            <v>19</v>
          </cell>
          <cell r="J619">
            <v>178.98</v>
          </cell>
          <cell r="K619" t="str">
            <v>6212.10.9020</v>
          </cell>
          <cell r="L619" t="str">
            <v>6212.10.90.00.00</v>
          </cell>
        </row>
        <row r="620">
          <cell r="B620" t="str">
            <v>W9557R</v>
          </cell>
          <cell r="C620" t="str">
            <v>Women's Bras</v>
          </cell>
          <cell r="D620" t="str">
            <v>Gravel</v>
          </cell>
          <cell r="E620" t="str">
            <v>SHELL: 77%POLYESTER 23%ELAST...</v>
          </cell>
          <cell r="F620" t="str">
            <v>VN</v>
          </cell>
          <cell r="H620">
            <v>9.18</v>
          </cell>
          <cell r="I620">
            <v>18</v>
          </cell>
          <cell r="J620">
            <v>165.24</v>
          </cell>
          <cell r="K620" t="str">
            <v>6212.10.9020</v>
          </cell>
          <cell r="L620" t="str">
            <v>6212.10.90.00.00</v>
          </cell>
        </row>
        <row r="621">
          <cell r="B621" t="str">
            <v>W9557R</v>
          </cell>
          <cell r="C621" t="str">
            <v>Women's Bras</v>
          </cell>
          <cell r="D621" t="str">
            <v>Steel Grey</v>
          </cell>
          <cell r="E621" t="str">
            <v>SHELL: 77%POLYESTER 23%ELAST...</v>
          </cell>
          <cell r="F621" t="str">
            <v>VN</v>
          </cell>
          <cell r="H621">
            <v>9.18</v>
          </cell>
          <cell r="I621">
            <v>24</v>
          </cell>
          <cell r="J621">
            <v>220.32</v>
          </cell>
          <cell r="K621" t="str">
            <v>6212.10.9020</v>
          </cell>
          <cell r="L621" t="str">
            <v>6212.10.90.00.00</v>
          </cell>
        </row>
        <row r="622">
          <cell r="B622" t="str">
            <v>W9557R</v>
          </cell>
          <cell r="C622" t="str">
            <v>Women's Bras</v>
          </cell>
          <cell r="D622" t="str">
            <v>Eclipse Blue</v>
          </cell>
          <cell r="E622" t="str">
            <v>SHELL: 77%POLYESTER 23%ELAST...</v>
          </cell>
          <cell r="F622" t="str">
            <v>VN</v>
          </cell>
          <cell r="H622">
            <v>9.42</v>
          </cell>
          <cell r="I622">
            <v>24</v>
          </cell>
          <cell r="J622">
            <v>226.08</v>
          </cell>
          <cell r="K622" t="str">
            <v>6212.10.9020</v>
          </cell>
          <cell r="L622" t="str">
            <v>6212.10.90.00.00</v>
          </cell>
        </row>
        <row r="623">
          <cell r="B623" t="str">
            <v>W9609R</v>
          </cell>
          <cell r="C623" t="str">
            <v>Women's Bras</v>
          </cell>
          <cell r="D623" t="str">
            <v>White</v>
          </cell>
          <cell r="E623" t="str">
            <v>SHELL: 87%NYLON 13%ELASTANE...</v>
          </cell>
          <cell r="F623" t="str">
            <v>VN</v>
          </cell>
          <cell r="H623">
            <v>12.7</v>
          </cell>
          <cell r="I623">
            <v>18</v>
          </cell>
          <cell r="J623">
            <v>228.6</v>
          </cell>
          <cell r="K623" t="str">
            <v>6212.10.9020</v>
          </cell>
          <cell r="L623" t="str">
            <v>6212.10.90.00.00</v>
          </cell>
        </row>
        <row r="624">
          <cell r="B624" t="str">
            <v>W9609R</v>
          </cell>
          <cell r="C624" t="str">
            <v>Women's Bras</v>
          </cell>
          <cell r="D624" t="str">
            <v>Black</v>
          </cell>
          <cell r="E624" t="str">
            <v>SHELL: 87%NYLON 13%ELASTANE...</v>
          </cell>
          <cell r="F624" t="str">
            <v>VN</v>
          </cell>
          <cell r="H624">
            <v>12.7</v>
          </cell>
          <cell r="I624">
            <v>31</v>
          </cell>
          <cell r="J624">
            <v>393.7</v>
          </cell>
          <cell r="K624" t="str">
            <v>6212.10.9020</v>
          </cell>
          <cell r="L624" t="str">
            <v>6212.10.90.00.00</v>
          </cell>
        </row>
        <row r="625">
          <cell r="B625" t="str">
            <v>W9609R</v>
          </cell>
          <cell r="C625" t="str">
            <v>Women's Bras</v>
          </cell>
          <cell r="D625" t="str">
            <v>Ivory</v>
          </cell>
          <cell r="E625" t="str">
            <v>SHELL: 87%NYLON 13%ELASTANE...</v>
          </cell>
          <cell r="F625" t="str">
            <v>VN</v>
          </cell>
          <cell r="H625">
            <v>12.7</v>
          </cell>
          <cell r="I625">
            <v>24</v>
          </cell>
          <cell r="J625">
            <v>304.8</v>
          </cell>
          <cell r="K625" t="str">
            <v>6212.10.9020</v>
          </cell>
          <cell r="L625" t="str">
            <v>6212.10.90.00.00</v>
          </cell>
        </row>
        <row r="626">
          <cell r="B626" t="str">
            <v>W9616R</v>
          </cell>
          <cell r="C626" t="str">
            <v>Women's Tanks</v>
          </cell>
          <cell r="D626" t="str">
            <v>Black</v>
          </cell>
          <cell r="E626" t="str">
            <v>95%NYLON 5%ELASTANE</v>
          </cell>
          <cell r="F626" t="str">
            <v>VN</v>
          </cell>
          <cell r="H626">
            <v>12.25</v>
          </cell>
          <cell r="I626">
            <v>24</v>
          </cell>
          <cell r="J626">
            <v>294</v>
          </cell>
          <cell r="K626" t="str">
            <v>6212.10.9020</v>
          </cell>
          <cell r="L626" t="str">
            <v>6212.10.90.00.00</v>
          </cell>
        </row>
        <row r="627">
          <cell r="B627" t="str">
            <v>W9616R</v>
          </cell>
          <cell r="C627" t="str">
            <v>Women's Tanks</v>
          </cell>
          <cell r="D627" t="str">
            <v>Eclipse Blue</v>
          </cell>
          <cell r="E627" t="str">
            <v>91%NYLON 9%ELASTANE</v>
          </cell>
          <cell r="F627" t="str">
            <v>LK</v>
          </cell>
          <cell r="H627">
            <v>12.55</v>
          </cell>
          <cell r="I627">
            <v>18</v>
          </cell>
          <cell r="J627">
            <v>225.9</v>
          </cell>
          <cell r="K627" t="str">
            <v>6212.10.9020</v>
          </cell>
          <cell r="L627" t="str">
            <v>6212.10.90.00.00</v>
          </cell>
        </row>
        <row r="628">
          <cell r="B628" t="str">
            <v>W9671R</v>
          </cell>
          <cell r="C628" t="str">
            <v>Women's Bras</v>
          </cell>
          <cell r="D628" t="str">
            <v>Black</v>
          </cell>
          <cell r="E628" t="str">
            <v>90%NYLON 10%ELASTANE&gt;EXCLU...</v>
          </cell>
          <cell r="F628" t="str">
            <v>LK</v>
          </cell>
          <cell r="H628">
            <v>13.25</v>
          </cell>
          <cell r="I628">
            <v>15</v>
          </cell>
          <cell r="J628">
            <v>198.75</v>
          </cell>
          <cell r="K628" t="str">
            <v>6212.10.9020</v>
          </cell>
          <cell r="L628" t="str">
            <v>6212.10.90.00.00</v>
          </cell>
        </row>
        <row r="629">
          <cell r="B629" t="str">
            <v>W9671R</v>
          </cell>
          <cell r="C629" t="str">
            <v>Women's Bras</v>
          </cell>
          <cell r="D629" t="str">
            <v>Navy</v>
          </cell>
          <cell r="E629" t="str">
            <v>90%NYLON 10%ELASTANE&gt;EXCLU...</v>
          </cell>
          <cell r="F629" t="str">
            <v>LK</v>
          </cell>
          <cell r="H629">
            <v>13.25</v>
          </cell>
          <cell r="I629">
            <v>15</v>
          </cell>
          <cell r="J629">
            <v>198.75</v>
          </cell>
          <cell r="K629" t="str">
            <v>6212.10.9020</v>
          </cell>
          <cell r="L629" t="str">
            <v>6212.10.90.00.00</v>
          </cell>
        </row>
        <row r="630">
          <cell r="B630" t="str">
            <v>W9680R</v>
          </cell>
          <cell r="C630" t="str">
            <v>Women's Bras</v>
          </cell>
          <cell r="D630" t="str">
            <v>White/Black</v>
          </cell>
          <cell r="E630" t="str">
            <v>SHELL: 81%NYLON 19%ELASTANE...</v>
          </cell>
          <cell r="F630" t="str">
            <v>LK</v>
          </cell>
          <cell r="H630">
            <v>14.95</v>
          </cell>
          <cell r="I630">
            <v>9</v>
          </cell>
          <cell r="J630">
            <v>134.55000000000001</v>
          </cell>
          <cell r="K630" t="str">
            <v>6212.10.9020</v>
          </cell>
          <cell r="L630" t="str">
            <v>6212.10.90.00.00</v>
          </cell>
        </row>
        <row r="631">
          <cell r="B631" t="str">
            <v>W9680R</v>
          </cell>
          <cell r="C631" t="str">
            <v>Women's Bras</v>
          </cell>
          <cell r="D631" t="str">
            <v>Black/White</v>
          </cell>
          <cell r="E631" t="str">
            <v>SHELL: 87%NYLON 13%ELASTANE...</v>
          </cell>
          <cell r="F631" t="str">
            <v>LK</v>
          </cell>
          <cell r="H631">
            <v>14.95</v>
          </cell>
          <cell r="I631">
            <v>18</v>
          </cell>
          <cell r="J631">
            <v>269.10000000000002</v>
          </cell>
          <cell r="K631" t="str">
            <v>6212.10.9020</v>
          </cell>
          <cell r="L631" t="str">
            <v>6212.10.90.00.00</v>
          </cell>
        </row>
        <row r="632">
          <cell r="B632" t="str">
            <v>W9680R</v>
          </cell>
          <cell r="C632" t="str">
            <v>Women's Bras</v>
          </cell>
          <cell r="D632" t="str">
            <v>Steel Grey/White</v>
          </cell>
          <cell r="E632" t="str">
            <v>SHELL: 81%POLYESTER 19%ELAST...</v>
          </cell>
          <cell r="F632" t="str">
            <v>VN</v>
          </cell>
          <cell r="H632">
            <v>14.95</v>
          </cell>
          <cell r="I632">
            <v>12</v>
          </cell>
          <cell r="J632">
            <v>179.4</v>
          </cell>
          <cell r="K632" t="str">
            <v>6212.10.9020</v>
          </cell>
          <cell r="L632" t="str">
            <v>6212.10.90.00.00</v>
          </cell>
        </row>
        <row r="633">
          <cell r="B633" t="str">
            <v>W9724R</v>
          </cell>
          <cell r="C633" t="str">
            <v>Women's Bras</v>
          </cell>
          <cell r="D633" t="str">
            <v>Black</v>
          </cell>
          <cell r="E633" t="str">
            <v>BODY: 77%POLYESTER 23%ELAST...</v>
          </cell>
          <cell r="F633" t="str">
            <v>VN</v>
          </cell>
          <cell r="H633">
            <v>23.98</v>
          </cell>
          <cell r="I633">
            <v>18</v>
          </cell>
          <cell r="J633">
            <v>431.64</v>
          </cell>
          <cell r="K633" t="str">
            <v>6212.10.9020</v>
          </cell>
          <cell r="L633" t="str">
            <v>6212.10.90.00.00</v>
          </cell>
        </row>
        <row r="634">
          <cell r="B634" t="str">
            <v>W9780R</v>
          </cell>
          <cell r="C634" t="str">
            <v>Women's Bras</v>
          </cell>
          <cell r="D634" t="str">
            <v>Black/White</v>
          </cell>
          <cell r="E634" t="str">
            <v>BODY: 84%POLYESTER 16%ELAST...</v>
          </cell>
          <cell r="F634" t="str">
            <v>VN</v>
          </cell>
          <cell r="H634">
            <v>8.7200000000000006</v>
          </cell>
          <cell r="I634">
            <v>31</v>
          </cell>
          <cell r="J634">
            <v>270.32</v>
          </cell>
          <cell r="K634" t="str">
            <v>6212.10.9020</v>
          </cell>
          <cell r="L634" t="str">
            <v>6212.10.90.00.00</v>
          </cell>
        </row>
        <row r="635">
          <cell r="B635" t="str">
            <v>W9780R</v>
          </cell>
          <cell r="C635" t="str">
            <v>Women's Bras</v>
          </cell>
          <cell r="D635" t="str">
            <v>Espresso</v>
          </cell>
          <cell r="E635" t="str">
            <v>BODY: 84%POLYESTER 16%ELAST...</v>
          </cell>
          <cell r="F635" t="str">
            <v>VN</v>
          </cell>
          <cell r="H635">
            <v>8.7200000000000006</v>
          </cell>
          <cell r="I635">
            <v>24</v>
          </cell>
          <cell r="J635">
            <v>209.28</v>
          </cell>
          <cell r="K635" t="str">
            <v>6212.10.9020</v>
          </cell>
          <cell r="L635" t="str">
            <v>6212.10.90.00.00</v>
          </cell>
        </row>
        <row r="636">
          <cell r="B636" t="str">
            <v>W9785R</v>
          </cell>
          <cell r="C636" t="str">
            <v>Women's Bras</v>
          </cell>
          <cell r="D636" t="str">
            <v>Oatmeal Heather</v>
          </cell>
          <cell r="E636" t="str">
            <v>SHELL: 87%POLYESTER 13%ELAST...</v>
          </cell>
          <cell r="F636" t="str">
            <v>VN</v>
          </cell>
          <cell r="H636">
            <v>9.3000000000000007</v>
          </cell>
          <cell r="I636">
            <v>14</v>
          </cell>
          <cell r="J636">
            <v>130.19999999999999</v>
          </cell>
          <cell r="K636" t="str">
            <v>6212.10.9020</v>
          </cell>
          <cell r="L636" t="str">
            <v>6212.10.90.00.00</v>
          </cell>
        </row>
        <row r="637">
          <cell r="B637" t="str">
            <v>W9789R</v>
          </cell>
          <cell r="C637" t="str">
            <v>Women's Bras</v>
          </cell>
          <cell r="D637" t="str">
            <v>Black/White</v>
          </cell>
          <cell r="E637" t="str">
            <v>BODY: 94%POLYESTER 6%ELASTA...</v>
          </cell>
          <cell r="F637" t="str">
            <v>VN</v>
          </cell>
          <cell r="H637">
            <v>12.52</v>
          </cell>
          <cell r="I637">
            <v>15</v>
          </cell>
          <cell r="J637">
            <v>187.8</v>
          </cell>
          <cell r="K637" t="str">
            <v>6212.10.9020</v>
          </cell>
          <cell r="L637" t="str">
            <v>6212.10.90.00.00</v>
          </cell>
        </row>
        <row r="638">
          <cell r="B638" t="str">
            <v>W9789R</v>
          </cell>
          <cell r="C638" t="str">
            <v>Women's Bras</v>
          </cell>
          <cell r="D638" t="str">
            <v>Navy/Ivory</v>
          </cell>
          <cell r="E638" t="str">
            <v>BODY: 94%POLYESTER 6%ELASTA...</v>
          </cell>
          <cell r="F638" t="str">
            <v>VN</v>
          </cell>
          <cell r="H638">
            <v>12.52</v>
          </cell>
          <cell r="I638">
            <v>15</v>
          </cell>
          <cell r="J638">
            <v>187.8</v>
          </cell>
          <cell r="K638" t="str">
            <v>6212.10.9020</v>
          </cell>
          <cell r="L638" t="str">
            <v>6212.10.90.00.00</v>
          </cell>
        </row>
        <row r="639">
          <cell r="B639" t="str">
            <v>W9789R</v>
          </cell>
          <cell r="C639" t="str">
            <v>Women's Bras</v>
          </cell>
          <cell r="D639" t="str">
            <v>Steel Grey/Grey</v>
          </cell>
          <cell r="E639" t="str">
            <v>BODY: 94%POLYESTER 6%ELASTA...</v>
          </cell>
          <cell r="F639" t="str">
            <v>VN</v>
          </cell>
          <cell r="H639">
            <v>12.52</v>
          </cell>
          <cell r="I639">
            <v>12</v>
          </cell>
          <cell r="J639">
            <v>150.24</v>
          </cell>
          <cell r="K639" t="str">
            <v>6212.10.9020</v>
          </cell>
          <cell r="L639" t="str">
            <v>6212.10.90.00.00</v>
          </cell>
        </row>
        <row r="640">
          <cell r="B640" t="str">
            <v>A0225U</v>
          </cell>
          <cell r="C640" t="str">
            <v>Accessory - Hair Management</v>
          </cell>
          <cell r="D640" t="str">
            <v>White</v>
          </cell>
          <cell r="E640" t="str">
            <v>92%POLYESTER 8%ELASTANE</v>
          </cell>
          <cell r="F640" t="str">
            <v>VN</v>
          </cell>
          <cell r="H640">
            <v>4.07</v>
          </cell>
          <cell r="I640">
            <v>15</v>
          </cell>
          <cell r="J640">
            <v>61.05</v>
          </cell>
          <cell r="K640" t="str">
            <v>6217.10.8500</v>
          </cell>
          <cell r="L640" t="str">
            <v>6217.10.00.00.19</v>
          </cell>
        </row>
        <row r="641">
          <cell r="B641" t="str">
            <v>A0225U</v>
          </cell>
          <cell r="C641" t="str">
            <v>Accessory - Hair Management</v>
          </cell>
          <cell r="D641" t="str">
            <v>Black</v>
          </cell>
          <cell r="E641" t="str">
            <v>92%POLYESTER 8%ELASTANE</v>
          </cell>
          <cell r="F641" t="str">
            <v>VN</v>
          </cell>
          <cell r="H641">
            <v>4.07</v>
          </cell>
          <cell r="I641">
            <v>15</v>
          </cell>
          <cell r="J641">
            <v>61.05</v>
          </cell>
          <cell r="K641" t="str">
            <v>6217.10.8500</v>
          </cell>
          <cell r="L641" t="str">
            <v>6217.10.00.00.19</v>
          </cell>
        </row>
        <row r="642">
          <cell r="B642" t="str">
            <v>A0494U</v>
          </cell>
          <cell r="C642" t="str">
            <v>Accessory - Hair Management</v>
          </cell>
          <cell r="D642" t="str">
            <v>White</v>
          </cell>
          <cell r="E642" t="str">
            <v>92%POLYESTER 8%ELASTANE</v>
          </cell>
          <cell r="F642" t="str">
            <v>VN</v>
          </cell>
          <cell r="H642">
            <v>2.89</v>
          </cell>
          <cell r="I642">
            <v>15</v>
          </cell>
          <cell r="J642">
            <v>43.35</v>
          </cell>
          <cell r="K642" t="str">
            <v>6217.10.8500</v>
          </cell>
          <cell r="L642" t="str">
            <v>6217.10.00.00.19</v>
          </cell>
        </row>
        <row r="643">
          <cell r="B643" t="str">
            <v>A0494U</v>
          </cell>
          <cell r="C643" t="str">
            <v>Accessory - Hair Management</v>
          </cell>
          <cell r="D643" t="str">
            <v>Black</v>
          </cell>
          <cell r="E643" t="str">
            <v>92%POLYESTER 8%ELASTANE</v>
          </cell>
          <cell r="F643" t="str">
            <v>VN</v>
          </cell>
          <cell r="H643">
            <v>2.89</v>
          </cell>
          <cell r="I643">
            <v>15</v>
          </cell>
          <cell r="J643">
            <v>43.35</v>
          </cell>
          <cell r="K643" t="str">
            <v>6217.10.8500</v>
          </cell>
          <cell r="L643" t="str">
            <v>6217.10.00.00.19</v>
          </cell>
        </row>
        <row r="644">
          <cell r="B644" t="str">
            <v>A0494U</v>
          </cell>
          <cell r="C644" t="str">
            <v>Accessory - Hair Management</v>
          </cell>
          <cell r="D644" t="str">
            <v>Eclipse Blue</v>
          </cell>
          <cell r="E644" t="str">
            <v>92%POLYESTER 8%ELASTANE</v>
          </cell>
          <cell r="F644" t="str">
            <v>TH</v>
          </cell>
          <cell r="H644">
            <v>2.5</v>
          </cell>
          <cell r="I644">
            <v>15</v>
          </cell>
          <cell r="J644">
            <v>37.5</v>
          </cell>
          <cell r="K644" t="str">
            <v>6217.10.8500</v>
          </cell>
          <cell r="L644" t="str">
            <v>6217.10.00.00.19</v>
          </cell>
        </row>
        <row r="645">
          <cell r="B645" t="str">
            <v>A0247U</v>
          </cell>
          <cell r="C645" t="str">
            <v>Accessory - Equipment</v>
          </cell>
          <cell r="D645" t="str">
            <v>Black</v>
          </cell>
          <cell r="E645" t="str">
            <v>85%POLYESTER 15%NYLON</v>
          </cell>
          <cell r="F645" t="str">
            <v>CN</v>
          </cell>
          <cell r="H645">
            <v>3.16</v>
          </cell>
          <cell r="I645">
            <v>24</v>
          </cell>
          <cell r="J645">
            <v>75.84</v>
          </cell>
          <cell r="K645" t="str">
            <v>6302.93.1000</v>
          </cell>
          <cell r="L645" t="str">
            <v>6302.93.90.00.00</v>
          </cell>
        </row>
        <row r="646">
          <cell r="B646" t="str">
            <v>A0247U</v>
          </cell>
          <cell r="C646" t="str">
            <v>Accessory - Equipment</v>
          </cell>
          <cell r="D646" t="str">
            <v>Jungle</v>
          </cell>
          <cell r="E646" t="str">
            <v>85%POLYESTER 15%NYLON</v>
          </cell>
          <cell r="F646" t="str">
            <v>CN</v>
          </cell>
          <cell r="H646">
            <v>3.16</v>
          </cell>
          <cell r="I646">
            <v>8</v>
          </cell>
          <cell r="J646">
            <v>25.28</v>
          </cell>
          <cell r="K646" t="str">
            <v>6302.93.1000</v>
          </cell>
          <cell r="L646" t="str">
            <v>6302.93.90.00.00</v>
          </cell>
        </row>
        <row r="647">
          <cell r="B647" t="str">
            <v>A0247U</v>
          </cell>
          <cell r="C647" t="str">
            <v>Accessory - Equipment</v>
          </cell>
          <cell r="D647" t="str">
            <v>Smoky Quartz</v>
          </cell>
          <cell r="E647" t="str">
            <v>85%POLYESTER 15%NYLON</v>
          </cell>
          <cell r="F647" t="str">
            <v>CN</v>
          </cell>
          <cell r="H647">
            <v>3.16</v>
          </cell>
          <cell r="I647">
            <v>18</v>
          </cell>
          <cell r="J647">
            <v>56.88</v>
          </cell>
          <cell r="K647" t="str">
            <v>6302.93.1000</v>
          </cell>
          <cell r="L647" t="str">
            <v>6302.93.90.00.00</v>
          </cell>
        </row>
        <row r="648">
          <cell r="B648" t="str">
            <v>A0247U</v>
          </cell>
          <cell r="C648" t="str">
            <v>Accessory - Equipment</v>
          </cell>
          <cell r="D648" t="str">
            <v>Eclipse</v>
          </cell>
          <cell r="E648" t="str">
            <v>85%POLYESTER 15%NYLON</v>
          </cell>
          <cell r="F648" t="str">
            <v>CN</v>
          </cell>
          <cell r="H648">
            <v>3.16</v>
          </cell>
          <cell r="I648">
            <v>18</v>
          </cell>
          <cell r="J648">
            <v>56.88</v>
          </cell>
          <cell r="K648" t="str">
            <v>6302.93.1000</v>
          </cell>
          <cell r="L648" t="str">
            <v>6302.93.90.00.00</v>
          </cell>
        </row>
        <row r="649">
          <cell r="B649" t="str">
            <v>A0669U</v>
          </cell>
          <cell r="C649" t="str">
            <v>Footwear - Recovery</v>
          </cell>
          <cell r="D649" t="str">
            <v>White</v>
          </cell>
          <cell r="E649" t="str">
            <v>UPPER: SYNTHETIC TEXTILE&gt;LININ...</v>
          </cell>
          <cell r="F649" t="str">
            <v>CN</v>
          </cell>
          <cell r="H649">
            <v>12.67</v>
          </cell>
          <cell r="I649">
            <v>100</v>
          </cell>
          <cell r="J649">
            <v>1267</v>
          </cell>
          <cell r="K649" t="str">
            <v>6402.99.4960</v>
          </cell>
          <cell r="L649" t="str">
            <v>6404.19.10.00.00</v>
          </cell>
        </row>
        <row r="650">
          <cell r="B650" t="str">
            <v>A0669U</v>
          </cell>
          <cell r="C650" t="str">
            <v>Footwear - Recovery</v>
          </cell>
          <cell r="D650" t="str">
            <v>Black</v>
          </cell>
          <cell r="E650" t="str">
            <v>UPPER: SYNTHETIC TEXTILE&gt;LININ...</v>
          </cell>
          <cell r="F650" t="str">
            <v>CN</v>
          </cell>
          <cell r="H650">
            <v>12.67</v>
          </cell>
          <cell r="I650">
            <v>100</v>
          </cell>
          <cell r="J650">
            <v>1267</v>
          </cell>
          <cell r="K650" t="str">
            <v>6402.99.4960</v>
          </cell>
          <cell r="L650" t="str">
            <v>6404.19.10.00.00</v>
          </cell>
        </row>
        <row r="651">
          <cell r="B651" t="str">
            <v>A0669U</v>
          </cell>
          <cell r="C651" t="str">
            <v>Footwear - Recovery</v>
          </cell>
          <cell r="D651" t="str">
            <v>Espresso</v>
          </cell>
          <cell r="E651" t="str">
            <v>UPPER: SYNTHETIC TEXTILE&gt;LININ...</v>
          </cell>
          <cell r="F651" t="str">
            <v>CN</v>
          </cell>
          <cell r="H651">
            <v>12.67</v>
          </cell>
          <cell r="I651">
            <v>100</v>
          </cell>
          <cell r="J651">
            <v>1267</v>
          </cell>
          <cell r="K651" t="str">
            <v>6402.99.4960</v>
          </cell>
          <cell r="L651" t="str">
            <v>6404.19.10.00.00</v>
          </cell>
        </row>
        <row r="652">
          <cell r="B652" t="str">
            <v>A0685U</v>
          </cell>
          <cell r="C652" t="str">
            <v>Footwear - Recovery</v>
          </cell>
          <cell r="D652" t="str">
            <v>Natural White/Gum</v>
          </cell>
          <cell r="E652" t="str">
            <v>UPPER: SYNTHETIC TEXTILE&gt;LINING &amp; IN...</v>
          </cell>
          <cell r="F652" t="str">
            <v>CH</v>
          </cell>
          <cell r="H652">
            <v>33.28</v>
          </cell>
          <cell r="I652">
            <v>342</v>
          </cell>
          <cell r="J652">
            <v>11381.76</v>
          </cell>
          <cell r="K652" t="str">
            <v>6402.99.9005</v>
          </cell>
          <cell r="L652" t="str">
            <v>6402.99.93.00.00</v>
          </cell>
        </row>
        <row r="653">
          <cell r="B653" t="str">
            <v>A0685U</v>
          </cell>
          <cell r="C653" t="str">
            <v>Footwear - Recovery</v>
          </cell>
          <cell r="D653" t="str">
            <v>Black/White</v>
          </cell>
          <cell r="E653" t="str">
            <v>UPPER: SYNTHETIC TEXTILE&gt;LINING &amp; IN...</v>
          </cell>
          <cell r="F653" t="str">
            <v>VN</v>
          </cell>
          <cell r="H653">
            <v>33.28</v>
          </cell>
          <cell r="I653">
            <v>48</v>
          </cell>
          <cell r="J653">
            <v>1597.44</v>
          </cell>
          <cell r="K653" t="str">
            <v>6402.99.9005</v>
          </cell>
          <cell r="L653" t="str">
            <v>6402.99.93.00.00</v>
          </cell>
        </row>
        <row r="654">
          <cell r="B654" t="str">
            <v>AMFOSR1047</v>
          </cell>
          <cell r="C654" t="str">
            <v>SKEL TOP LOW</v>
          </cell>
          <cell r="E654" t="str">
            <v>UPPER :100% COW LEATHER/ OUTSOLE: 100% RUBBER</v>
          </cell>
          <cell r="F654" t="str">
            <v>VN</v>
          </cell>
          <cell r="H654">
            <v>189</v>
          </cell>
          <cell r="I654">
            <v>22</v>
          </cell>
          <cell r="J654">
            <v>4158</v>
          </cell>
          <cell r="K654" t="str">
            <v>64031900</v>
          </cell>
          <cell r="L654" t="str">
            <v>6403.19.00.00.00</v>
          </cell>
        </row>
        <row r="655">
          <cell r="B655" t="str">
            <v>AMFOSR1071</v>
          </cell>
          <cell r="C655" t="str">
            <v>SKEL TOP LOW</v>
          </cell>
          <cell r="E655" t="str">
            <v xml:space="preserve">UPPER :100% COW  &amp; GOAT LEATHER OUTSOLE:100%RUBBER
</v>
          </cell>
          <cell r="F655" t="str">
            <v>VN</v>
          </cell>
          <cell r="H655">
            <v>189</v>
          </cell>
          <cell r="I655">
            <v>20</v>
          </cell>
          <cell r="J655">
            <v>3780</v>
          </cell>
          <cell r="K655" t="str">
            <v>64031900</v>
          </cell>
          <cell r="L655" t="str">
            <v>6403.19.00.00.00</v>
          </cell>
        </row>
        <row r="656">
          <cell r="B656" t="str">
            <v>AMFOSR1092</v>
          </cell>
          <cell r="C656" t="str">
            <v>SUNSET SKATE LOW</v>
          </cell>
          <cell r="E656" t="str">
            <v>UPPER: 100% COW LEATHER LINING:100% POLYESTER MESH OUTSOLE:OUTSOLE:100% RUBBER MIDSOLE:100% EVA</v>
          </cell>
          <cell r="F656" t="str">
            <v>KH</v>
          </cell>
          <cell r="H656">
            <v>160.30000000000001</v>
          </cell>
          <cell r="I656">
            <v>20</v>
          </cell>
          <cell r="J656">
            <v>3206</v>
          </cell>
          <cell r="K656" t="str">
            <v>64031900</v>
          </cell>
          <cell r="L656" t="str">
            <v>6403.19.00.00.00</v>
          </cell>
        </row>
        <row r="657">
          <cell r="B657" t="str">
            <v>AMFOSR1097</v>
          </cell>
          <cell r="C657" t="str">
            <v>MA-1</v>
          </cell>
          <cell r="E657" t="str">
            <v>UPPER : 100% COW LEATHER LINING:80% COTTON+20%POLYESTER OUTSOLE:Outsole:100% RUBBER</v>
          </cell>
          <cell r="F657" t="str">
            <v>VN</v>
          </cell>
          <cell r="H657">
            <v>247.8</v>
          </cell>
          <cell r="I657">
            <v>62</v>
          </cell>
          <cell r="J657">
            <v>15363.6</v>
          </cell>
          <cell r="K657" t="str">
            <v>64031900</v>
          </cell>
          <cell r="L657" t="str">
            <v>6403.19.00.00.00</v>
          </cell>
        </row>
        <row r="658">
          <cell r="B658" t="str">
            <v>AMFOSR1101</v>
          </cell>
          <cell r="C658" t="str">
            <v>CLASSIC LOW</v>
          </cell>
          <cell r="E658" t="str">
            <v>UPPER :100% COW LEATHER  LINING:100% POLYESTER MESH OUTSOLE:Outsole:100% RUBBER</v>
          </cell>
          <cell r="F658" t="str">
            <v>VN</v>
          </cell>
          <cell r="H658">
            <v>189</v>
          </cell>
          <cell r="I658">
            <v>22</v>
          </cell>
          <cell r="J658">
            <v>4158</v>
          </cell>
          <cell r="K658" t="str">
            <v>64031900</v>
          </cell>
          <cell r="L658" t="str">
            <v>6403.19.00.00.00</v>
          </cell>
        </row>
        <row r="659">
          <cell r="B659" t="str">
            <v>AWFOSR1034</v>
          </cell>
          <cell r="C659" t="str">
            <v>SKEL TOP LOW</v>
          </cell>
          <cell r="E659" t="str">
            <v>UPPER :100% COW LEATHER/ OUTSOLE: 100% RUBBER</v>
          </cell>
          <cell r="F659" t="str">
            <v>VN</v>
          </cell>
          <cell r="H659">
            <v>189</v>
          </cell>
          <cell r="I659">
            <v>31</v>
          </cell>
          <cell r="J659">
            <v>5859</v>
          </cell>
          <cell r="K659" t="str">
            <v>64031900</v>
          </cell>
          <cell r="L659" t="str">
            <v>6403.19.00.00.00</v>
          </cell>
        </row>
        <row r="660">
          <cell r="B660" t="str">
            <v>AWFOSR1080</v>
          </cell>
          <cell r="C660" t="str">
            <v>MA-1</v>
          </cell>
          <cell r="E660" t="str">
            <v>UPPER : 100% COW LEATHER</v>
          </cell>
          <cell r="F660" t="str">
            <v>VN</v>
          </cell>
          <cell r="H660">
            <v>247.8</v>
          </cell>
          <cell r="I660">
            <v>30</v>
          </cell>
          <cell r="J660">
            <v>7434</v>
          </cell>
          <cell r="K660" t="str">
            <v>64031900</v>
          </cell>
          <cell r="L660" t="str">
            <v>6403.19.00.00.00</v>
          </cell>
        </row>
        <row r="661">
          <cell r="B661" t="str">
            <v>AWFOSR1084</v>
          </cell>
          <cell r="C661" t="str">
            <v>CLASSIC LOW</v>
          </cell>
          <cell r="E661" t="str">
            <v>UPPER : BOVINE LEATHER, LINING: 100% POLYESTER, SOLE: 100% RUBBER</v>
          </cell>
          <cell r="F661" t="str">
            <v>VN</v>
          </cell>
          <cell r="H661">
            <v>189</v>
          </cell>
          <cell r="I661">
            <v>28</v>
          </cell>
          <cell r="J661">
            <v>5292</v>
          </cell>
          <cell r="K661" t="str">
            <v>64031900</v>
          </cell>
          <cell r="L661" t="str">
            <v>6403.19.00.00.00</v>
          </cell>
        </row>
        <row r="662">
          <cell r="B662" t="str">
            <v>AMFOSR1077</v>
          </cell>
          <cell r="C662" t="str">
            <v>VARSITY SKEL TOP LOW</v>
          </cell>
          <cell r="E662" t="str">
            <v>UPPER 1: 100% COW LEATHER, UPPER 2: 100% COW LEATHER, LINING: 100% POLYESTER MESH, OUTSOLE : 100% RUBBER</v>
          </cell>
          <cell r="F662" t="str">
            <v>VN</v>
          </cell>
          <cell r="H662">
            <v>200.9</v>
          </cell>
          <cell r="I662">
            <v>26</v>
          </cell>
          <cell r="J662">
            <v>5223.4000000000005</v>
          </cell>
          <cell r="K662" t="str">
            <v>64031900</v>
          </cell>
          <cell r="L662" t="str">
            <v>6403.19.00.00.00</v>
          </cell>
        </row>
        <row r="663">
          <cell r="B663" t="str">
            <v>AMFOSR1088</v>
          </cell>
          <cell r="C663" t="str">
            <v>CLASSIC LOW</v>
          </cell>
          <cell r="E663" t="str">
            <v>UPPER 1: 100%  COW LEATHER, UPPER 2: 100% POLYESTER: 100% POLYESTER MESH, Outsole: 100% RUBBER</v>
          </cell>
          <cell r="F663" t="str">
            <v>VN</v>
          </cell>
          <cell r="H663">
            <v>200.9</v>
          </cell>
          <cell r="I663">
            <v>15</v>
          </cell>
          <cell r="J663">
            <v>3013.5</v>
          </cell>
          <cell r="K663" t="str">
            <v>64031900</v>
          </cell>
          <cell r="L663" t="str">
            <v>6403.19.00.00.00</v>
          </cell>
        </row>
        <row r="664">
          <cell r="B664" t="str">
            <v>A0590U</v>
          </cell>
          <cell r="C664" t="str">
            <v>Footwear - Running</v>
          </cell>
          <cell r="D664" t="str">
            <v>White/White</v>
          </cell>
          <cell r="E664" t="str">
            <v>UPPER: SYNTHETIC TEXTILE&gt;LININ...</v>
          </cell>
          <cell r="F664" t="str">
            <v>CN</v>
          </cell>
          <cell r="H664">
            <v>33.979999999999997</v>
          </cell>
          <cell r="I664">
            <v>72</v>
          </cell>
          <cell r="J664">
            <v>2446.56</v>
          </cell>
          <cell r="K664" t="str">
            <v>6404.11.9050</v>
          </cell>
          <cell r="L664" t="str">
            <v>6404.11.00.00.00</v>
          </cell>
        </row>
        <row r="665">
          <cell r="B665" t="str">
            <v>A0590U</v>
          </cell>
          <cell r="C665" t="str">
            <v>Footwear - Running</v>
          </cell>
          <cell r="D665" t="str">
            <v>Black/Black</v>
          </cell>
          <cell r="E665" t="str">
            <v>UPPER: SYNTHETIC TEXTILE&gt;LININ...</v>
          </cell>
          <cell r="F665" t="str">
            <v>CN</v>
          </cell>
          <cell r="H665">
            <v>33.979999999999997</v>
          </cell>
          <cell r="I665">
            <v>72</v>
          </cell>
          <cell r="J665">
            <v>2446.56</v>
          </cell>
          <cell r="K665" t="str">
            <v>6404.11.9050</v>
          </cell>
          <cell r="L665" t="str">
            <v>6404.11.00.00.00</v>
          </cell>
        </row>
        <row r="666">
          <cell r="B666" t="str">
            <v>AMFOSR1058</v>
          </cell>
          <cell r="C666" t="str">
            <v>BANDANA DENIM SKEL TOP LOW</v>
          </cell>
          <cell r="E666" t="str">
            <v>UPPER 100% Cotton Outsole:100% Rubber</v>
          </cell>
          <cell r="F666" t="str">
            <v>VN</v>
          </cell>
          <cell r="H666">
            <v>207</v>
          </cell>
          <cell r="I666">
            <v>14</v>
          </cell>
          <cell r="J666">
            <v>2898</v>
          </cell>
          <cell r="K666" t="str">
            <v>64041100</v>
          </cell>
          <cell r="L666" t="str">
            <v>6404.11.00.00.00</v>
          </cell>
        </row>
        <row r="667">
          <cell r="B667" t="str">
            <v>AMFOSR1063</v>
          </cell>
          <cell r="C667" t="str">
            <v>BANDANA DENIM MA-1</v>
          </cell>
          <cell r="E667" t="str">
            <v>UPPER 100% Cotton Outsole:100% Rubber</v>
          </cell>
          <cell r="F667" t="str">
            <v>VN</v>
          </cell>
          <cell r="H667">
            <v>267</v>
          </cell>
          <cell r="I667">
            <v>16</v>
          </cell>
          <cell r="J667">
            <v>4272</v>
          </cell>
          <cell r="K667" t="str">
            <v>64041100</v>
          </cell>
          <cell r="L667" t="str">
            <v>6404.11.00.00.00</v>
          </cell>
        </row>
        <row r="668">
          <cell r="B668" t="str">
            <v>A0467U</v>
          </cell>
          <cell r="C668" t="str">
            <v>Accessory - Hats</v>
          </cell>
          <cell r="D668" t="str">
            <v>White/Black</v>
          </cell>
          <cell r="E668" t="str">
            <v>SHELL: 100%COTTON&gt;LINING &amp; M...</v>
          </cell>
          <cell r="F668" t="str">
            <v>CN</v>
          </cell>
          <cell r="H668">
            <v>4.38</v>
          </cell>
          <cell r="I668">
            <v>120</v>
          </cell>
          <cell r="J668">
            <v>525.6</v>
          </cell>
          <cell r="K668" t="str">
            <v>6505.00.2590</v>
          </cell>
          <cell r="L668" t="str">
            <v>6505.00.30.00.00</v>
          </cell>
        </row>
        <row r="669">
          <cell r="B669" t="str">
            <v>A0467U</v>
          </cell>
          <cell r="C669" t="str">
            <v>Accessory - Hats</v>
          </cell>
          <cell r="D669" t="str">
            <v>Black/White</v>
          </cell>
          <cell r="E669" t="str">
            <v>SHELL: 100%COTTON&gt;LINING &amp; M...</v>
          </cell>
          <cell r="F669" t="str">
            <v>CN</v>
          </cell>
          <cell r="H669">
            <v>4.38</v>
          </cell>
          <cell r="I669">
            <v>120</v>
          </cell>
          <cell r="J669">
            <v>525.6</v>
          </cell>
          <cell r="K669" t="str">
            <v>6505.00.2590</v>
          </cell>
          <cell r="L669" t="str">
            <v>6505.00.30.00.00</v>
          </cell>
        </row>
        <row r="670">
          <cell r="B670" t="str">
            <v>A0467U</v>
          </cell>
          <cell r="C670" t="str">
            <v>Accessory - Hats</v>
          </cell>
          <cell r="D670" t="str">
            <v>Espresso</v>
          </cell>
          <cell r="E670" t="str">
            <v>SHELL: 100%COTTON&gt;LINING &amp; M...</v>
          </cell>
          <cell r="F670" t="str">
            <v>CN</v>
          </cell>
          <cell r="H670">
            <v>4.38</v>
          </cell>
          <cell r="I670">
            <v>15</v>
          </cell>
          <cell r="J670">
            <v>65.7</v>
          </cell>
          <cell r="K670" t="str">
            <v>6505.00.2590</v>
          </cell>
          <cell r="L670" t="str">
            <v>6505.00.30.00.00</v>
          </cell>
        </row>
        <row r="671">
          <cell r="B671" t="str">
            <v>A0467U</v>
          </cell>
          <cell r="C671" t="str">
            <v>Accessory - Hats</v>
          </cell>
          <cell r="D671" t="str">
            <v>Gravel</v>
          </cell>
          <cell r="E671" t="str">
            <v>SHELL: 100%COTTON&gt;LINING &amp; M...</v>
          </cell>
          <cell r="F671" t="str">
            <v>CN</v>
          </cell>
          <cell r="H671">
            <v>4.38</v>
          </cell>
          <cell r="I671">
            <v>20</v>
          </cell>
          <cell r="J671">
            <v>87.6</v>
          </cell>
          <cell r="K671" t="str">
            <v>6505.00.2590</v>
          </cell>
          <cell r="L671" t="str">
            <v>6505.00.30.00.00</v>
          </cell>
        </row>
        <row r="672">
          <cell r="B672" t="str">
            <v>A0497U</v>
          </cell>
          <cell r="C672" t="str">
            <v>Accessory - Hats</v>
          </cell>
          <cell r="D672" t="str">
            <v>Vintage Navy</v>
          </cell>
          <cell r="E672" t="str">
            <v>100%COTTON&gt;EXCLUSIVE OF TRIMMING</v>
          </cell>
          <cell r="F672" t="str">
            <v>CN</v>
          </cell>
          <cell r="H672">
            <v>5.62</v>
          </cell>
          <cell r="I672">
            <v>40</v>
          </cell>
          <cell r="J672">
            <v>224.8</v>
          </cell>
          <cell r="K672" t="str">
            <v>6505.00.2590</v>
          </cell>
          <cell r="L672" t="str">
            <v>6505.00.30.00.00</v>
          </cell>
        </row>
        <row r="673">
          <cell r="B673" t="str">
            <v>A0648U</v>
          </cell>
          <cell r="C673" t="str">
            <v>Accessory - Hats</v>
          </cell>
          <cell r="D673" t="str">
            <v>Black/Black</v>
          </cell>
          <cell r="E673" t="str">
            <v>EXTERIOR: 100%COTTON&gt;INTERIO...</v>
          </cell>
          <cell r="F673" t="str">
            <v>VN</v>
          </cell>
          <cell r="H673">
            <v>4.16</v>
          </cell>
          <cell r="I673">
            <v>100</v>
          </cell>
          <cell r="J673">
            <v>416</v>
          </cell>
          <cell r="K673" t="str">
            <v>6505.00.2590</v>
          </cell>
          <cell r="L673" t="str">
            <v>6505.00.30.00.00</v>
          </cell>
        </row>
        <row r="674">
          <cell r="B674" t="str">
            <v>A0648U</v>
          </cell>
          <cell r="C674" t="str">
            <v>Accessory - Hats</v>
          </cell>
          <cell r="D674" t="str">
            <v>Bright White/Black</v>
          </cell>
          <cell r="E674" t="str">
            <v>EXTERIOR: 100%COTTON&gt;INTERIO...</v>
          </cell>
          <cell r="F674" t="str">
            <v>VN</v>
          </cell>
          <cell r="H674">
            <v>4.16</v>
          </cell>
          <cell r="I674">
            <v>100</v>
          </cell>
          <cell r="J674">
            <v>416</v>
          </cell>
          <cell r="K674" t="str">
            <v>6505.00.2590</v>
          </cell>
          <cell r="L674" t="str">
            <v>6505.00.30.00.00</v>
          </cell>
        </row>
        <row r="675">
          <cell r="B675" t="str">
            <v>A0648U</v>
          </cell>
          <cell r="C675" t="str">
            <v>Accessory - Hats</v>
          </cell>
          <cell r="D675" t="str">
            <v>Bright White/White</v>
          </cell>
          <cell r="E675" t="str">
            <v>EXTERIOR: 100%COTTON&gt;INTERIO...</v>
          </cell>
          <cell r="F675" t="str">
            <v>VN</v>
          </cell>
          <cell r="H675">
            <v>4.16</v>
          </cell>
          <cell r="I675">
            <v>40</v>
          </cell>
          <cell r="J675">
            <v>166.4</v>
          </cell>
          <cell r="K675" t="str">
            <v>6505.00.2590</v>
          </cell>
          <cell r="L675" t="str">
            <v>6505.00.30.00.00</v>
          </cell>
        </row>
        <row r="676">
          <cell r="B676" t="str">
            <v>A0467U</v>
          </cell>
          <cell r="C676" t="str">
            <v>Accessory - Hats</v>
          </cell>
          <cell r="D676" t="str">
            <v>White/White</v>
          </cell>
          <cell r="E676" t="str">
            <v>SHELL: 100%COTTON&gt;LINING &amp; M...</v>
          </cell>
          <cell r="F676" t="str">
            <v>CN</v>
          </cell>
          <cell r="H676">
            <v>4.38</v>
          </cell>
          <cell r="I676">
            <v>100</v>
          </cell>
          <cell r="J676">
            <v>438</v>
          </cell>
          <cell r="K676" t="str">
            <v>6505.00.2590</v>
          </cell>
          <cell r="L676" t="str">
            <v>6505.00.30.00.00</v>
          </cell>
        </row>
        <row r="677">
          <cell r="B677" t="str">
            <v>A0467U</v>
          </cell>
          <cell r="C677" t="str">
            <v>Accessory - Hats</v>
          </cell>
          <cell r="D677" t="str">
            <v>White/Black</v>
          </cell>
          <cell r="E677" t="str">
            <v>SHELL: 100%COTTON&gt;LINING &amp; M...</v>
          </cell>
          <cell r="F677" t="str">
            <v>CN</v>
          </cell>
          <cell r="H677">
            <v>4.38</v>
          </cell>
          <cell r="I677">
            <v>120</v>
          </cell>
          <cell r="J677">
            <v>525.6</v>
          </cell>
          <cell r="K677" t="str">
            <v>6505.00.2590</v>
          </cell>
          <cell r="L677" t="str">
            <v>6505.00.30.00.00</v>
          </cell>
        </row>
        <row r="678">
          <cell r="B678" t="str">
            <v>A0467U</v>
          </cell>
          <cell r="C678" t="str">
            <v>Accessory - Hats</v>
          </cell>
          <cell r="D678" t="str">
            <v>Black</v>
          </cell>
          <cell r="E678" t="str">
            <v>SHELL: 100%COTTON&gt;LINING &amp; M...</v>
          </cell>
          <cell r="F678" t="str">
            <v>VN</v>
          </cell>
          <cell r="H678">
            <v>4.38</v>
          </cell>
          <cell r="I678">
            <v>200</v>
          </cell>
          <cell r="J678">
            <v>876</v>
          </cell>
          <cell r="K678" t="str">
            <v>6505.00.2590</v>
          </cell>
          <cell r="L678" t="str">
            <v>6505.00.30.00.00</v>
          </cell>
        </row>
        <row r="679">
          <cell r="B679" t="str">
            <v>A0467U</v>
          </cell>
          <cell r="C679" t="str">
            <v>Accessory - Hats</v>
          </cell>
          <cell r="D679" t="str">
            <v>Gravel</v>
          </cell>
          <cell r="E679" t="str">
            <v>SHELL: 100%COTTON&gt;LINING &amp; M...</v>
          </cell>
          <cell r="F679" t="str">
            <v>VN</v>
          </cell>
          <cell r="H679">
            <v>4.38</v>
          </cell>
          <cell r="I679">
            <v>120</v>
          </cell>
          <cell r="J679">
            <v>525.6</v>
          </cell>
          <cell r="K679" t="str">
            <v>6505.00.2590</v>
          </cell>
          <cell r="L679" t="str">
            <v>6505.00.30.00.00</v>
          </cell>
        </row>
        <row r="680">
          <cell r="B680" t="str">
            <v>A0648U</v>
          </cell>
          <cell r="C680" t="str">
            <v>Accessory - Hats</v>
          </cell>
          <cell r="D680" t="str">
            <v>Black/Black</v>
          </cell>
          <cell r="E680" t="str">
            <v>EXTERIOR: 100%COTTON&gt;INTERIO...</v>
          </cell>
          <cell r="F680" t="str">
            <v>VN</v>
          </cell>
          <cell r="H680">
            <v>4.16</v>
          </cell>
          <cell r="I680">
            <v>150</v>
          </cell>
          <cell r="J680">
            <v>624</v>
          </cell>
          <cell r="K680" t="str">
            <v>6505.00.2590</v>
          </cell>
          <cell r="L680" t="str">
            <v>6505.00.30.00.00</v>
          </cell>
        </row>
        <row r="681">
          <cell r="B681" t="str">
            <v>A0648U</v>
          </cell>
          <cell r="C681" t="str">
            <v>Accessory - Hats</v>
          </cell>
          <cell r="D681" t="str">
            <v>Bright White/Black</v>
          </cell>
          <cell r="E681" t="str">
            <v>EXTERIOR: 100%COTTON&gt;INTERIO...</v>
          </cell>
          <cell r="F681" t="str">
            <v>VN</v>
          </cell>
          <cell r="H681">
            <v>4.16</v>
          </cell>
          <cell r="I681">
            <v>150</v>
          </cell>
          <cell r="J681">
            <v>624</v>
          </cell>
          <cell r="K681" t="str">
            <v>6505.00.2590</v>
          </cell>
          <cell r="L681" t="str">
            <v>6505.00.30.00.00</v>
          </cell>
        </row>
        <row r="682">
          <cell r="B682" t="str">
            <v>A0648U</v>
          </cell>
          <cell r="C682" t="str">
            <v>Accessory - Hats</v>
          </cell>
          <cell r="D682" t="str">
            <v>Bright White/White</v>
          </cell>
          <cell r="E682" t="str">
            <v>EXTERIOR: 100%COTTON&gt;INTERIO...</v>
          </cell>
          <cell r="F682" t="str">
            <v>VN</v>
          </cell>
          <cell r="H682">
            <v>4.16</v>
          </cell>
          <cell r="I682">
            <v>150</v>
          </cell>
          <cell r="J682">
            <v>624</v>
          </cell>
          <cell r="K682" t="str">
            <v>6505.00.2590</v>
          </cell>
          <cell r="L682" t="str">
            <v>6505.00.30.00.00</v>
          </cell>
        </row>
        <row r="683">
          <cell r="B683" t="str">
            <v>A0467U</v>
          </cell>
          <cell r="C683" t="str">
            <v>Accessory - Hats</v>
          </cell>
          <cell r="D683" t="str">
            <v>Black</v>
          </cell>
          <cell r="E683" t="str">
            <v>SHELL: 100%COTTON&gt;LINING &amp; M...</v>
          </cell>
          <cell r="F683" t="str">
            <v>VN</v>
          </cell>
          <cell r="H683">
            <v>5.69</v>
          </cell>
          <cell r="I683">
            <v>135</v>
          </cell>
          <cell r="J683">
            <v>768.15</v>
          </cell>
          <cell r="K683" t="str">
            <v>6505.00.2590</v>
          </cell>
          <cell r="L683" t="str">
            <v>6505.00.30.00.00</v>
          </cell>
        </row>
        <row r="684">
          <cell r="B684" t="str">
            <v>A0648U</v>
          </cell>
          <cell r="C684" t="str">
            <v>Accessory - Hats</v>
          </cell>
          <cell r="D684" t="str">
            <v>Black/White</v>
          </cell>
          <cell r="E684" t="str">
            <v>EXTERIOR: 100%COTTON&gt;INTERIO...</v>
          </cell>
          <cell r="F684" t="str">
            <v>CN</v>
          </cell>
          <cell r="H684">
            <v>5.41</v>
          </cell>
          <cell r="I684">
            <v>56</v>
          </cell>
          <cell r="J684">
            <v>302.95999999999998</v>
          </cell>
          <cell r="K684" t="str">
            <v>6505.00.2590</v>
          </cell>
          <cell r="L684" t="str">
            <v>6505.00.30.00.00</v>
          </cell>
        </row>
        <row r="685">
          <cell r="B685" t="str">
            <v>A0648U</v>
          </cell>
          <cell r="C685" t="str">
            <v>Accessory - Hats</v>
          </cell>
          <cell r="D685" t="str">
            <v>Black/White</v>
          </cell>
          <cell r="E685" t="str">
            <v>EXTERIOR: 100%COTTON&gt;INTERIO...</v>
          </cell>
          <cell r="F685" t="str">
            <v>US</v>
          </cell>
          <cell r="H685">
            <v>5.41</v>
          </cell>
          <cell r="I685">
            <v>144</v>
          </cell>
          <cell r="J685">
            <v>779.04</v>
          </cell>
          <cell r="K685" t="str">
            <v>6505.00.2590</v>
          </cell>
          <cell r="L685" t="str">
            <v>6505.00.30.00.00</v>
          </cell>
        </row>
        <row r="686">
          <cell r="B686" t="str">
            <v>A0467U</v>
          </cell>
          <cell r="C686" t="str">
            <v>Accessory - Hats</v>
          </cell>
          <cell r="D686" t="str">
            <v>Black/White</v>
          </cell>
          <cell r="E686" t="str">
            <v>SHELL: 100%COTTON&gt;LINING &amp; M...</v>
          </cell>
          <cell r="F686" t="str">
            <v>CN</v>
          </cell>
          <cell r="H686">
            <v>5.69</v>
          </cell>
          <cell r="I686">
            <v>6</v>
          </cell>
          <cell r="J686">
            <v>34.14</v>
          </cell>
          <cell r="K686" t="str">
            <v>6505.00.2590</v>
          </cell>
          <cell r="L686" t="str">
            <v>6505.00.30.00.00</v>
          </cell>
        </row>
        <row r="687">
          <cell r="B687" t="str">
            <v>A0467U</v>
          </cell>
          <cell r="C687" t="str">
            <v>Accessory - Hats</v>
          </cell>
          <cell r="D687" t="str">
            <v>Black/White</v>
          </cell>
          <cell r="E687" t="str">
            <v>SHELL: 100%COTTON&gt;LINING &amp; M...</v>
          </cell>
          <cell r="F687" t="str">
            <v>US</v>
          </cell>
          <cell r="H687">
            <v>5.69</v>
          </cell>
          <cell r="I687">
            <v>144</v>
          </cell>
          <cell r="J687">
            <v>819.36</v>
          </cell>
          <cell r="K687" t="str">
            <v>6505.00.2590</v>
          </cell>
          <cell r="L687" t="str">
            <v>6505.00.30.00.00</v>
          </cell>
        </row>
        <row r="688">
          <cell r="B688" t="str">
            <v>A0684U</v>
          </cell>
          <cell r="C688" t="str">
            <v>Accessory - Hats</v>
          </cell>
          <cell r="D688" t="str">
            <v>White</v>
          </cell>
          <cell r="E688" t="str">
            <v>EXTERIOR: 77%POLYESTER 23%EL...</v>
          </cell>
          <cell r="F688" t="str">
            <v>CN</v>
          </cell>
          <cell r="H688">
            <v>6.25</v>
          </cell>
          <cell r="I688">
            <v>14</v>
          </cell>
          <cell r="J688">
            <v>87.5</v>
          </cell>
          <cell r="K688" t="str">
            <v>6505.00.6045</v>
          </cell>
          <cell r="L688" t="str">
            <v>6505.00.30.00.00</v>
          </cell>
        </row>
        <row r="689">
          <cell r="B689" t="str">
            <v>A0684U</v>
          </cell>
          <cell r="C689" t="str">
            <v>Accessory - Hats</v>
          </cell>
          <cell r="D689" t="str">
            <v>Black</v>
          </cell>
          <cell r="E689" t="str">
            <v>EXTERIOR: 77%POLYESTER 23%EL...</v>
          </cell>
          <cell r="F689" t="str">
            <v>CN</v>
          </cell>
          <cell r="H689">
            <v>6.25</v>
          </cell>
          <cell r="I689">
            <v>16</v>
          </cell>
          <cell r="J689">
            <v>100</v>
          </cell>
          <cell r="K689" t="str">
            <v>6505.00.6045</v>
          </cell>
          <cell r="L689" t="str">
            <v>6505.00.30.00.00</v>
          </cell>
        </row>
        <row r="690">
          <cell r="B690" t="str">
            <v>A0684U</v>
          </cell>
          <cell r="C690" t="str">
            <v>Accessory - Hats</v>
          </cell>
          <cell r="D690" t="str">
            <v>White</v>
          </cell>
          <cell r="E690" t="str">
            <v>EXTERIOR: 77%POLYESTER 23%EL...</v>
          </cell>
          <cell r="F690" t="str">
            <v>CN</v>
          </cell>
          <cell r="H690">
            <v>6.25</v>
          </cell>
          <cell r="I690">
            <v>80</v>
          </cell>
          <cell r="J690">
            <v>500</v>
          </cell>
          <cell r="K690" t="str">
            <v>6505.00.6045</v>
          </cell>
          <cell r="L690" t="str">
            <v>6505.00.30.00.00</v>
          </cell>
        </row>
        <row r="691">
          <cell r="B691" t="str">
            <v>A0684U</v>
          </cell>
          <cell r="C691" t="str">
            <v>Accessory - Hats</v>
          </cell>
          <cell r="D691" t="str">
            <v>Black</v>
          </cell>
          <cell r="E691" t="str">
            <v>EXTERIOR: 77%POLYESTER 23%EL...</v>
          </cell>
          <cell r="F691" t="str">
            <v>CN</v>
          </cell>
          <cell r="H691">
            <v>6.25</v>
          </cell>
          <cell r="I691">
            <v>80</v>
          </cell>
          <cell r="J691">
            <v>500</v>
          </cell>
          <cell r="K691" t="str">
            <v>6505.00.6045</v>
          </cell>
          <cell r="L691" t="str">
            <v>6505.00.30.00.00</v>
          </cell>
        </row>
        <row r="692">
          <cell r="B692" t="str">
            <v>A0242U</v>
          </cell>
          <cell r="C692" t="str">
            <v>Accessory - Hats</v>
          </cell>
          <cell r="D692" t="str">
            <v>Black</v>
          </cell>
          <cell r="E692" t="str">
            <v>100%POLYESTER&gt;EXCLUSIVE OF TRIMMING</v>
          </cell>
          <cell r="F692" t="str">
            <v>CN</v>
          </cell>
          <cell r="H692">
            <v>5.45</v>
          </cell>
          <cell r="I692">
            <v>8</v>
          </cell>
          <cell r="J692">
            <v>43.6</v>
          </cell>
          <cell r="K692" t="str">
            <v>6505.00.6090</v>
          </cell>
          <cell r="L692" t="str">
            <v>6505.00.30.00.00</v>
          </cell>
        </row>
        <row r="693">
          <cell r="B693" t="str">
            <v>A0375U</v>
          </cell>
          <cell r="C693" t="str">
            <v>Accessory - Hats</v>
          </cell>
          <cell r="D693" t="str">
            <v>Black</v>
          </cell>
          <cell r="E693" t="str">
            <v>FAUX FUR SHELL &amp; LINING: 100%P...</v>
          </cell>
          <cell r="F693" t="str">
            <v>CN</v>
          </cell>
          <cell r="H693">
            <v>10.84</v>
          </cell>
          <cell r="I693">
            <v>5</v>
          </cell>
          <cell r="J693">
            <v>54.2</v>
          </cell>
          <cell r="K693" t="str">
            <v>6505.00.6090</v>
          </cell>
          <cell r="L693" t="str">
            <v>6505.00.30.00.00</v>
          </cell>
        </row>
        <row r="694">
          <cell r="B694" t="str">
            <v>A0375U</v>
          </cell>
          <cell r="C694" t="str">
            <v>Accessory - Hats</v>
          </cell>
          <cell r="D694" t="str">
            <v>Ivory</v>
          </cell>
          <cell r="E694" t="str">
            <v>FAUX FUR SHELL &amp; LINING: 100%P...</v>
          </cell>
          <cell r="F694" t="str">
            <v>CN</v>
          </cell>
          <cell r="H694">
            <v>10.84</v>
          </cell>
          <cell r="I694">
            <v>5</v>
          </cell>
          <cell r="J694">
            <v>54.2</v>
          </cell>
          <cell r="K694" t="str">
            <v>6505.00.6090</v>
          </cell>
          <cell r="L694" t="str">
            <v>6505.00.30.00.00</v>
          </cell>
        </row>
        <row r="695">
          <cell r="B695" t="str">
            <v>A0405U</v>
          </cell>
          <cell r="C695" t="str">
            <v>Accessory - Hats</v>
          </cell>
          <cell r="D695" t="str">
            <v>Black</v>
          </cell>
          <cell r="E695" t="str">
            <v>BODY: 89%POLYESTER 7%NYLON ...</v>
          </cell>
          <cell r="F695" t="str">
            <v>CN</v>
          </cell>
          <cell r="H695">
            <v>13.38</v>
          </cell>
          <cell r="I695">
            <v>6</v>
          </cell>
          <cell r="J695">
            <v>80.28</v>
          </cell>
          <cell r="K695" t="str">
            <v>6505.00.6090</v>
          </cell>
          <cell r="L695" t="str">
            <v>6505.00.30.00.00</v>
          </cell>
        </row>
        <row r="696">
          <cell r="B696" t="str">
            <v>A0405U</v>
          </cell>
          <cell r="C696" t="str">
            <v>Accessory - Hats</v>
          </cell>
          <cell r="D696" t="str">
            <v>Athletic Heather Grey</v>
          </cell>
          <cell r="E696" t="str">
            <v>BODY: 89%POLYESTER 7%NYLON ...</v>
          </cell>
          <cell r="F696" t="str">
            <v>CN</v>
          </cell>
          <cell r="H696">
            <v>13.38</v>
          </cell>
          <cell r="I696">
            <v>6</v>
          </cell>
          <cell r="J696">
            <v>80.28</v>
          </cell>
          <cell r="K696" t="str">
            <v>6505.00.6090</v>
          </cell>
          <cell r="L696" t="str">
            <v>6505.00.30.00.00</v>
          </cell>
        </row>
        <row r="697">
          <cell r="B697" t="str">
            <v>A0405U</v>
          </cell>
          <cell r="C697" t="str">
            <v>Accessory - Hats</v>
          </cell>
          <cell r="D697" t="str">
            <v>Ivory</v>
          </cell>
          <cell r="E697" t="str">
            <v>BODY: 89%POLYESTER 7%NYLON ...</v>
          </cell>
          <cell r="F697" t="str">
            <v>CN</v>
          </cell>
          <cell r="H697">
            <v>13.38</v>
          </cell>
          <cell r="I697">
            <v>6</v>
          </cell>
          <cell r="J697">
            <v>80.28</v>
          </cell>
          <cell r="K697" t="str">
            <v>6505.00.6090</v>
          </cell>
          <cell r="L697" t="str">
            <v>6505.00.30.00.00</v>
          </cell>
        </row>
        <row r="698">
          <cell r="B698" t="str">
            <v>A0242U</v>
          </cell>
          <cell r="C698" t="str">
            <v>Accessory - Hats</v>
          </cell>
          <cell r="D698" t="str">
            <v>Gravel</v>
          </cell>
          <cell r="E698" t="str">
            <v>100%POLYESTER&gt;EXCLUSIVE OF TRIMMING</v>
          </cell>
          <cell r="F698" t="str">
            <v>CN</v>
          </cell>
          <cell r="H698">
            <v>7.09</v>
          </cell>
          <cell r="I698">
            <v>8</v>
          </cell>
          <cell r="J698">
            <v>56.72</v>
          </cell>
          <cell r="K698" t="str">
            <v>6505.00.6090</v>
          </cell>
          <cell r="L698" t="str">
            <v>6505.00.30.00.00</v>
          </cell>
        </row>
        <row r="699">
          <cell r="B699" t="str">
            <v>A0652U</v>
          </cell>
          <cell r="C699" t="str">
            <v>Accessory - Hats</v>
          </cell>
          <cell r="D699" t="str">
            <v>White</v>
          </cell>
          <cell r="E699" t="str">
            <v>EXTERIOR: 86%POLYESTER 14%EL...</v>
          </cell>
          <cell r="F699" t="str">
            <v>CN</v>
          </cell>
          <cell r="H699">
            <v>6.28</v>
          </cell>
          <cell r="I699">
            <v>20</v>
          </cell>
          <cell r="J699">
            <v>125.6</v>
          </cell>
          <cell r="K699" t="str">
            <v>6505.00.8050</v>
          </cell>
          <cell r="L699" t="str">
            <v>6505.00.30.00.00</v>
          </cell>
        </row>
        <row r="700">
          <cell r="B700" t="str">
            <v>A0652U</v>
          </cell>
          <cell r="C700" t="str">
            <v>Accessory - Hats</v>
          </cell>
          <cell r="D700" t="str">
            <v>Black</v>
          </cell>
          <cell r="E700" t="str">
            <v>EXTERIOR: 86%POLYESTER 14%EL...</v>
          </cell>
          <cell r="F700" t="str">
            <v>CN</v>
          </cell>
          <cell r="H700">
            <v>6.28</v>
          </cell>
          <cell r="I700">
            <v>20</v>
          </cell>
          <cell r="J700">
            <v>125.6</v>
          </cell>
          <cell r="K700" t="str">
            <v>6505.00.8050</v>
          </cell>
          <cell r="L700" t="str">
            <v>6505.00.30.00.00</v>
          </cell>
        </row>
        <row r="701">
          <cell r="B701" t="str">
            <v>A0543U</v>
          </cell>
          <cell r="C701" t="str">
            <v>Accessory - Hats</v>
          </cell>
          <cell r="D701" t="str">
            <v>White</v>
          </cell>
          <cell r="E701" t="str">
            <v>86%POLYESTER 14%ELASTANE&gt;E...</v>
          </cell>
          <cell r="F701" t="str">
            <v>CN</v>
          </cell>
          <cell r="H701">
            <v>4.8</v>
          </cell>
          <cell r="I701">
            <v>140</v>
          </cell>
          <cell r="J701">
            <v>672</v>
          </cell>
          <cell r="K701" t="str">
            <v>6505.00.8090</v>
          </cell>
          <cell r="L701" t="str">
            <v>6505.00.30.00.00</v>
          </cell>
        </row>
        <row r="702">
          <cell r="B702" t="str">
            <v>A0543U</v>
          </cell>
          <cell r="C702" t="str">
            <v>Accessory - Hats</v>
          </cell>
          <cell r="D702" t="str">
            <v>Black</v>
          </cell>
          <cell r="E702" t="str">
            <v>86%POLYESTER 14%ELASTANE&gt;E...</v>
          </cell>
          <cell r="F702" t="str">
            <v>CN</v>
          </cell>
          <cell r="H702">
            <v>4.8</v>
          </cell>
          <cell r="I702">
            <v>140</v>
          </cell>
          <cell r="J702">
            <v>672</v>
          </cell>
          <cell r="K702" t="str">
            <v>6505.00.8090</v>
          </cell>
          <cell r="L702" t="str">
            <v>6505.00.30.00.00</v>
          </cell>
        </row>
        <row r="703">
          <cell r="B703" t="str">
            <v>A0543U</v>
          </cell>
          <cell r="C703" t="str">
            <v>Accessory - Hats</v>
          </cell>
          <cell r="D703" t="str">
            <v>Navy</v>
          </cell>
          <cell r="E703" t="str">
            <v>86%POLYESTER 14%ELASTANE&gt;E...</v>
          </cell>
          <cell r="F703" t="str">
            <v>CN</v>
          </cell>
          <cell r="H703">
            <v>4.8</v>
          </cell>
          <cell r="I703">
            <v>40</v>
          </cell>
          <cell r="J703">
            <v>192</v>
          </cell>
          <cell r="K703" t="str">
            <v>6505.00.8090</v>
          </cell>
          <cell r="L703" t="str">
            <v>6505.00.30.00.00</v>
          </cell>
        </row>
        <row r="704">
          <cell r="B704" t="str">
            <v>A0545U</v>
          </cell>
          <cell r="C704" t="str">
            <v>Accessory - Hats</v>
          </cell>
          <cell r="D704" t="str">
            <v>Black/White</v>
          </cell>
          <cell r="E704" t="str">
            <v>EXTERIOR: 86%POLYESTER 14%EL...</v>
          </cell>
          <cell r="F704" t="str">
            <v>CN</v>
          </cell>
          <cell r="H704">
            <v>6.25</v>
          </cell>
          <cell r="I704">
            <v>120</v>
          </cell>
          <cell r="J704">
            <v>750</v>
          </cell>
          <cell r="K704" t="str">
            <v>6505.00.8090</v>
          </cell>
          <cell r="L704" t="str">
            <v>6505.00.30.00.00</v>
          </cell>
        </row>
        <row r="705">
          <cell r="B705" t="str">
            <v>A0545U</v>
          </cell>
          <cell r="C705" t="str">
            <v>Accessory - Hats</v>
          </cell>
          <cell r="D705" t="str">
            <v>Black</v>
          </cell>
          <cell r="E705" t="str">
            <v>EXTERIOR: 86%POLYESTER 14%EL...</v>
          </cell>
          <cell r="F705" t="str">
            <v>CN</v>
          </cell>
          <cell r="H705">
            <v>6.25</v>
          </cell>
          <cell r="I705">
            <v>60</v>
          </cell>
          <cell r="J705">
            <v>375</v>
          </cell>
          <cell r="K705" t="str">
            <v>6505.00.8090</v>
          </cell>
          <cell r="L705" t="str">
            <v>6505.00.30.00.00</v>
          </cell>
        </row>
        <row r="706">
          <cell r="B706" t="str">
            <v>A0545U</v>
          </cell>
          <cell r="C706" t="str">
            <v>Accessory - Hats</v>
          </cell>
          <cell r="D706" t="str">
            <v>Navy</v>
          </cell>
          <cell r="E706" t="str">
            <v>EXTERIOR: 86%POLYESTER 14%EL...</v>
          </cell>
          <cell r="F706" t="str">
            <v>CN</v>
          </cell>
          <cell r="H706">
            <v>6.25</v>
          </cell>
          <cell r="I706">
            <v>25</v>
          </cell>
          <cell r="J706">
            <v>156.25</v>
          </cell>
          <cell r="K706" t="str">
            <v>6505.00.8090</v>
          </cell>
          <cell r="L706" t="str">
            <v>6505.00.30.00.00</v>
          </cell>
        </row>
        <row r="707">
          <cell r="B707" t="str">
            <v>A0637U</v>
          </cell>
          <cell r="C707" t="str">
            <v>Accessory - Hats</v>
          </cell>
          <cell r="D707" t="str">
            <v>Black</v>
          </cell>
          <cell r="E707" t="str">
            <v>100% NYLON&gt;EXCLUSIVE OF TRIMMING</v>
          </cell>
          <cell r="F707" t="str">
            <v>CN</v>
          </cell>
          <cell r="H707">
            <v>6.74</v>
          </cell>
          <cell r="I707">
            <v>30</v>
          </cell>
          <cell r="J707">
            <v>202.2</v>
          </cell>
          <cell r="K707" t="str">
            <v>6505.00.8090</v>
          </cell>
          <cell r="L707" t="str">
            <v>6505.00.30.00.00</v>
          </cell>
        </row>
        <row r="708">
          <cell r="B708" t="str">
            <v>A0637U</v>
          </cell>
          <cell r="C708" t="str">
            <v>Accessory - Hats</v>
          </cell>
          <cell r="D708" t="str">
            <v>Creme</v>
          </cell>
          <cell r="E708" t="str">
            <v>100% NYLON&gt;EXCLUSIVE OF TRIMMING</v>
          </cell>
          <cell r="F708" t="str">
            <v>CN</v>
          </cell>
          <cell r="H708">
            <v>6.74</v>
          </cell>
          <cell r="I708">
            <v>10</v>
          </cell>
          <cell r="J708">
            <v>67.400000000000006</v>
          </cell>
          <cell r="K708" t="str">
            <v>6505.00.8090</v>
          </cell>
          <cell r="L708" t="str">
            <v>6505.00.30.00.00</v>
          </cell>
        </row>
        <row r="709">
          <cell r="B709" t="str">
            <v>A0637U</v>
          </cell>
          <cell r="C709" t="str">
            <v>Accessory - Hats</v>
          </cell>
          <cell r="D709" t="str">
            <v>Taupe Satin</v>
          </cell>
          <cell r="E709" t="str">
            <v>100% NYLON&gt;EXCLUSIVE OF TRIMMING</v>
          </cell>
          <cell r="F709" t="str">
            <v>CN</v>
          </cell>
          <cell r="H709">
            <v>6.74</v>
          </cell>
          <cell r="I709">
            <v>30</v>
          </cell>
          <cell r="J709">
            <v>202.2</v>
          </cell>
          <cell r="K709" t="str">
            <v>6505.00.8090</v>
          </cell>
          <cell r="L709" t="str">
            <v>6505.00.30.00.00</v>
          </cell>
        </row>
        <row r="710">
          <cell r="B710" t="str">
            <v>A0545U</v>
          </cell>
          <cell r="C710" t="str">
            <v>Accessory - Hats</v>
          </cell>
          <cell r="D710" t="str">
            <v>White/Black</v>
          </cell>
          <cell r="E710" t="str">
            <v>EXTERIOR: 86%POLYESTER 14%EL...</v>
          </cell>
          <cell r="F710" t="str">
            <v>CN</v>
          </cell>
          <cell r="H710">
            <v>8.1300000000000008</v>
          </cell>
          <cell r="I710">
            <v>180</v>
          </cell>
          <cell r="J710">
            <v>1463.4</v>
          </cell>
          <cell r="K710" t="str">
            <v>6505.00.8090</v>
          </cell>
          <cell r="L710" t="str">
            <v>6505.00.30.00.00</v>
          </cell>
        </row>
        <row r="711">
          <cell r="B711" t="str">
            <v>AMHAEA1010</v>
          </cell>
          <cell r="C711" t="str">
            <v>MA BEANIE</v>
          </cell>
          <cell r="E711" t="str">
            <v>100% WOOL</v>
          </cell>
          <cell r="F711" t="str">
            <v>IT</v>
          </cell>
          <cell r="H711">
            <v>105</v>
          </cell>
          <cell r="I711">
            <v>6</v>
          </cell>
          <cell r="J711">
            <v>630</v>
          </cell>
          <cell r="K711" t="str">
            <v>65050010</v>
          </cell>
          <cell r="L711" t="str">
            <v>6505.00.10.00.00</v>
          </cell>
        </row>
        <row r="712">
          <cell r="B712" t="str">
            <v>W7192R</v>
          </cell>
          <cell r="C712" t="str">
            <v>Accessory - Mats</v>
          </cell>
          <cell r="D712" t="str">
            <v>Jungle</v>
          </cell>
          <cell r="E712" t="str">
            <v>BASE: NATURAL RUBBER &gt;COATIN...</v>
          </cell>
          <cell r="F712" t="str">
            <v>CN</v>
          </cell>
          <cell r="H712">
            <v>27.43</v>
          </cell>
          <cell r="I712">
            <v>12</v>
          </cell>
          <cell r="J712">
            <v>329.16</v>
          </cell>
          <cell r="K712" t="str">
            <v>9506.91.0030</v>
          </cell>
          <cell r="L712" t="str">
            <v>9506.91.90.00.00</v>
          </cell>
        </row>
        <row r="713">
          <cell r="B713" t="str">
            <v>W7192R</v>
          </cell>
          <cell r="C713" t="str">
            <v>Accessory - Mats</v>
          </cell>
          <cell r="D713" t="str">
            <v>Smoky Quartz</v>
          </cell>
          <cell r="E713" t="str">
            <v>BASE: NATURAL RUBBER &gt;COATIN...</v>
          </cell>
          <cell r="F713" t="str">
            <v>CN</v>
          </cell>
          <cell r="H713">
            <v>27.43</v>
          </cell>
          <cell r="I713">
            <v>14</v>
          </cell>
          <cell r="J713">
            <v>384.02</v>
          </cell>
          <cell r="K713" t="str">
            <v>9506.91.0030</v>
          </cell>
          <cell r="L713" t="str">
            <v>9506.91.90.00.00</v>
          </cell>
        </row>
        <row r="714">
          <cell r="B714" t="str">
            <v>A0029U</v>
          </cell>
          <cell r="C714" t="str">
            <v>Accessory - Yoga Equipment</v>
          </cell>
          <cell r="D714" t="str">
            <v>Black</v>
          </cell>
          <cell r="E714" t="str">
            <v>FACE: 80%POLYESTER 20%NYLON...</v>
          </cell>
          <cell r="F714" t="str">
            <v>CN</v>
          </cell>
          <cell r="H714">
            <v>10.46</v>
          </cell>
          <cell r="I714">
            <v>9</v>
          </cell>
          <cell r="J714">
            <v>94.14</v>
          </cell>
          <cell r="K714" t="str">
            <v>9506.91.0030</v>
          </cell>
          <cell r="L714" t="str">
            <v>9506.91.90.00.00</v>
          </cell>
        </row>
        <row r="715">
          <cell r="B715" t="str">
            <v>A0084U</v>
          </cell>
          <cell r="C715" t="str">
            <v>Accessory - Yoga Equipment</v>
          </cell>
          <cell r="D715" t="str">
            <v>Black/Silver</v>
          </cell>
          <cell r="E715" t="str">
            <v>ETHYLENE-VINYL ACETATE</v>
          </cell>
          <cell r="F715" t="str">
            <v>TW</v>
          </cell>
          <cell r="H715">
            <v>6.21</v>
          </cell>
          <cell r="I715">
            <v>24</v>
          </cell>
          <cell r="J715">
            <v>149.04</v>
          </cell>
          <cell r="K715" t="str">
            <v>9506.91.0030</v>
          </cell>
          <cell r="L715" t="str">
            <v>9506.91.90.00.00</v>
          </cell>
        </row>
        <row r="716">
          <cell r="B716" t="str">
            <v>A0029U</v>
          </cell>
          <cell r="C716" t="str">
            <v>Accessory - Yoga Equipment</v>
          </cell>
          <cell r="D716" t="str">
            <v>Eclipse</v>
          </cell>
          <cell r="E716" t="str">
            <v>FACE: 80%POLYESTER 20%NYLON...</v>
          </cell>
          <cell r="F716" t="str">
            <v>CN</v>
          </cell>
          <cell r="H716">
            <v>13.6</v>
          </cell>
          <cell r="I716">
            <v>6</v>
          </cell>
          <cell r="J716">
            <v>81.599999999999994</v>
          </cell>
          <cell r="K716" t="str">
            <v>9506.91.0030</v>
          </cell>
          <cell r="L716" t="str">
            <v>9506.91.90.00.00</v>
          </cell>
        </row>
        <row r="717">
          <cell r="B717" t="str">
            <v>W7192R</v>
          </cell>
          <cell r="C717" t="str">
            <v>Accessory - Mats</v>
          </cell>
          <cell r="D717" t="str">
            <v>Eclipse</v>
          </cell>
          <cell r="E717" t="str">
            <v>BASE: NATURAL RUBBER &gt;COATIN...</v>
          </cell>
          <cell r="F717" t="str">
            <v>US</v>
          </cell>
          <cell r="H717">
            <v>35.659999999999997</v>
          </cell>
          <cell r="I717">
            <v>108</v>
          </cell>
          <cell r="J717">
            <v>3851.28</v>
          </cell>
          <cell r="K717" t="str">
            <v>9506.91.0030</v>
          </cell>
          <cell r="L717" t="str">
            <v>9506.91.90.00.00</v>
          </cell>
        </row>
        <row r="718">
          <cell r="B718" t="str">
            <v>A0084U</v>
          </cell>
          <cell r="C718" t="str">
            <v>Accessory - Yoga Equipment</v>
          </cell>
          <cell r="D718" t="str">
            <v>Smokey Quartz/Silver</v>
          </cell>
          <cell r="E718" t="str">
            <v>ETHYLENE-VINYL ACETATE</v>
          </cell>
          <cell r="F718" t="str">
            <v>TW</v>
          </cell>
          <cell r="H718">
            <v>8.07</v>
          </cell>
          <cell r="I718">
            <v>36</v>
          </cell>
          <cell r="J718">
            <v>290.52</v>
          </cell>
          <cell r="K718" t="str">
            <v>9506.91.0030</v>
          </cell>
          <cell r="L718" t="str">
            <v>9506.91.90.00.00</v>
          </cell>
        </row>
        <row r="719">
          <cell r="B719" t="str">
            <v>A0029U</v>
          </cell>
          <cell r="C719" t="str">
            <v>Accessory - Yoga Equipment</v>
          </cell>
          <cell r="D719" t="str">
            <v>Smoky Quartz</v>
          </cell>
          <cell r="E719" t="str">
            <v>FACE: 80%POLYESTER 20%NYLON...</v>
          </cell>
          <cell r="F719" t="str">
            <v>CN</v>
          </cell>
          <cell r="H719">
            <v>13.6</v>
          </cell>
          <cell r="I719">
            <v>10</v>
          </cell>
          <cell r="J719">
            <v>136</v>
          </cell>
          <cell r="K719" t="str">
            <v>9506.91.0030</v>
          </cell>
          <cell r="L719" t="str">
            <v>9506.91.90.00.00</v>
          </cell>
        </row>
        <row r="720">
          <cell r="B720" t="str">
            <v>W7192R</v>
          </cell>
          <cell r="C720" t="str">
            <v>Accessory - Mats</v>
          </cell>
          <cell r="D720" t="str">
            <v>Black</v>
          </cell>
          <cell r="E720" t="str">
            <v>BASE: NATURAL RUBBER &gt;COATIN...</v>
          </cell>
          <cell r="F720" t="str">
            <v>CN</v>
          </cell>
          <cell r="H720">
            <v>35.659999999999997</v>
          </cell>
          <cell r="I720">
            <v>2</v>
          </cell>
          <cell r="J720">
            <v>71.319999999999993</v>
          </cell>
          <cell r="K720" t="str">
            <v>9506.91.0030</v>
          </cell>
          <cell r="L720" t="str">
            <v>9506.91.90.00.00</v>
          </cell>
        </row>
        <row r="721">
          <cell r="B721" t="str">
            <v>W7192R</v>
          </cell>
          <cell r="C721" t="str">
            <v>Accessory - Mats</v>
          </cell>
          <cell r="D721" t="str">
            <v>Black</v>
          </cell>
          <cell r="E721" t="str">
            <v>BASE: NATURAL RUBBER &gt;COATIN...</v>
          </cell>
          <cell r="F721" t="str">
            <v>US</v>
          </cell>
          <cell r="H721">
            <v>35.659999999999997</v>
          </cell>
          <cell r="I721">
            <v>12</v>
          </cell>
          <cell r="J721">
            <v>427.92</v>
          </cell>
          <cell r="K721" t="str">
            <v>9506.91.0030</v>
          </cell>
          <cell r="L721" t="str">
            <v>9506.91.90.00.00</v>
          </cell>
        </row>
        <row r="722">
          <cell r="B722" t="str">
            <v>A0084U</v>
          </cell>
          <cell r="C722" t="str">
            <v>Accessory - Yoga Equipment</v>
          </cell>
          <cell r="D722" t="str">
            <v>Jungle/Silver</v>
          </cell>
          <cell r="E722" t="str">
            <v>ETHYLENE-VINYL ACETATE</v>
          </cell>
          <cell r="F722" t="str">
            <v>TW</v>
          </cell>
          <cell r="H722">
            <v>8.07</v>
          </cell>
          <cell r="I722">
            <v>20</v>
          </cell>
          <cell r="J722">
            <v>161.4</v>
          </cell>
          <cell r="K722" t="str">
            <v>9506.91.0030</v>
          </cell>
          <cell r="L722" t="str">
            <v>9506.91.90.00.00</v>
          </cell>
        </row>
        <row r="723">
          <cell r="B723" t="str">
            <v>W7192R</v>
          </cell>
          <cell r="C723" t="str">
            <v>Accessory - Mats</v>
          </cell>
          <cell r="D723" t="str">
            <v>Black</v>
          </cell>
          <cell r="E723" t="str">
            <v>BASE: NATURAL RUBBER &gt;COATING: POL...</v>
          </cell>
          <cell r="F723" t="str">
            <v>CN</v>
          </cell>
          <cell r="H723">
            <v>35.659999999999997</v>
          </cell>
          <cell r="I723">
            <v>50</v>
          </cell>
          <cell r="J723">
            <v>1783</v>
          </cell>
          <cell r="K723" t="str">
            <v>9506.91.0030</v>
          </cell>
          <cell r="L723" t="str">
            <v>9506.91.90.00.00</v>
          </cell>
        </row>
        <row r="724">
          <cell r="B724" t="str">
            <v>A0084U</v>
          </cell>
          <cell r="C724" t="str">
            <v>Accessory - Yoga Equipment</v>
          </cell>
          <cell r="D724" t="str">
            <v>Black/Silver</v>
          </cell>
          <cell r="E724" t="str">
            <v>ETHYLENE-VINYL ACETATE</v>
          </cell>
          <cell r="F724" t="str">
            <v>CN</v>
          </cell>
          <cell r="H724">
            <v>8.07</v>
          </cell>
          <cell r="I724">
            <v>22</v>
          </cell>
          <cell r="J724">
            <v>177.54</v>
          </cell>
          <cell r="K724" t="str">
            <v>9506.91.0030</v>
          </cell>
          <cell r="L724" t="str">
            <v>9506.91.90.00.00</v>
          </cell>
        </row>
        <row r="725">
          <cell r="B725" t="str">
            <v>A0084U</v>
          </cell>
          <cell r="C725" t="str">
            <v>Accessory - Yoga Equipment</v>
          </cell>
          <cell r="D725" t="str">
            <v>Black/Silver</v>
          </cell>
          <cell r="E725" t="str">
            <v>ETHYLENE-VINYL ACETATE</v>
          </cell>
          <cell r="F725" t="str">
            <v>TW</v>
          </cell>
          <cell r="H725">
            <v>8.07</v>
          </cell>
          <cell r="I725">
            <v>28</v>
          </cell>
          <cell r="J725">
            <v>225.96</v>
          </cell>
          <cell r="K725" t="str">
            <v>9506.91.0030</v>
          </cell>
          <cell r="L725" t="str">
            <v>9506.91.90.00.00</v>
          </cell>
        </row>
        <row r="726">
          <cell r="B726" t="str">
            <v>A0286W</v>
          </cell>
          <cell r="C726" t="str">
            <v>Accessory - Hair Management</v>
          </cell>
          <cell r="D726" t="str">
            <v>Black</v>
          </cell>
          <cell r="E726" t="str">
            <v>ACETATE</v>
          </cell>
          <cell r="F726" t="str">
            <v>CN</v>
          </cell>
          <cell r="H726">
            <v>4.4000000000000004</v>
          </cell>
          <cell r="I726">
            <v>8</v>
          </cell>
          <cell r="J726">
            <v>35.200000000000003</v>
          </cell>
          <cell r="K726" t="str">
            <v>9615.11.4000</v>
          </cell>
          <cell r="L726" t="str">
            <v>9615.11.00.00.00</v>
          </cell>
        </row>
        <row r="727">
          <cell r="B727" t="str">
            <v>A0286W</v>
          </cell>
          <cell r="C727" t="str">
            <v>Accessory - Hair Management</v>
          </cell>
          <cell r="D727" t="str">
            <v>White Pearl</v>
          </cell>
          <cell r="E727" t="str">
            <v>ACETATE</v>
          </cell>
          <cell r="F727" t="str">
            <v>CN</v>
          </cell>
          <cell r="H727">
            <v>4.4000000000000004</v>
          </cell>
          <cell r="I727">
            <v>8</v>
          </cell>
          <cell r="J727">
            <v>35.200000000000003</v>
          </cell>
          <cell r="K727" t="str">
            <v>9615.11.4000</v>
          </cell>
          <cell r="L727" t="str">
            <v>9615.11.00.00.00</v>
          </cell>
        </row>
        <row r="728">
          <cell r="B728" t="str">
            <v>A0286W</v>
          </cell>
          <cell r="C728" t="str">
            <v>Accessory - Hair Management</v>
          </cell>
          <cell r="D728" t="str">
            <v>White Pearl</v>
          </cell>
          <cell r="E728" t="str">
            <v>ACETATE</v>
          </cell>
          <cell r="F728" t="str">
            <v>CN</v>
          </cell>
          <cell r="H728">
            <v>5.69</v>
          </cell>
          <cell r="I728">
            <v>100</v>
          </cell>
          <cell r="J728">
            <v>569</v>
          </cell>
          <cell r="K728" t="str">
            <v>9615.11.4000</v>
          </cell>
          <cell r="L728" t="str">
            <v>9615.11.00.00.00</v>
          </cell>
        </row>
        <row r="729">
          <cell r="B729" t="str">
            <v>W4632R</v>
          </cell>
          <cell r="C729" t="str">
            <v>Women's Outerwear</v>
          </cell>
          <cell r="D729" t="str">
            <v>Ivory</v>
          </cell>
          <cell r="E729" t="str">
            <v>SHELL: 35%NYLON 35%RAYON 30...</v>
          </cell>
          <cell r="F729" t="str">
            <v>VN</v>
          </cell>
          <cell r="H729">
            <v>70.8</v>
          </cell>
          <cell r="I729">
            <v>9</v>
          </cell>
          <cell r="J729">
            <v>637.20000000000005</v>
          </cell>
          <cell r="K729" t="str">
            <v>6102.30.1000</v>
          </cell>
          <cell r="L729" t="str">
            <v>6102.30.10.00.00</v>
          </cell>
        </row>
        <row r="730">
          <cell r="B730" t="str">
            <v>W4493R</v>
          </cell>
          <cell r="C730" t="str">
            <v>Women's Outerwear</v>
          </cell>
          <cell r="D730" t="str">
            <v>Camel</v>
          </cell>
          <cell r="E730" t="str">
            <v>SHELL: 100%POLYESTER &gt;LINING: ...</v>
          </cell>
          <cell r="F730" t="str">
            <v>CN</v>
          </cell>
          <cell r="H730">
            <v>29.82</v>
          </cell>
          <cell r="I730">
            <v>19</v>
          </cell>
          <cell r="J730">
            <v>566.58000000000004</v>
          </cell>
          <cell r="K730" t="str">
            <v>6102.30.2010</v>
          </cell>
          <cell r="L730" t="str">
            <v>6102.30.10.00.00</v>
          </cell>
        </row>
        <row r="731">
          <cell r="B731" t="str">
            <v>M5151R</v>
          </cell>
          <cell r="C731" t="str">
            <v>Men's Other Bottoms</v>
          </cell>
          <cell r="D731" t="str">
            <v>Black</v>
          </cell>
          <cell r="E731" t="str">
            <v>65%COTTON 35%POLYESTER&gt;EXC...</v>
          </cell>
          <cell r="F731" t="str">
            <v>VN</v>
          </cell>
          <cell r="H731">
            <v>17.7</v>
          </cell>
          <cell r="I731">
            <v>16</v>
          </cell>
          <cell r="J731">
            <v>283.2</v>
          </cell>
          <cell r="K731" t="str">
            <v>6103.42.1020</v>
          </cell>
          <cell r="L731" t="str">
            <v>6103.42.00.00.00</v>
          </cell>
        </row>
        <row r="732">
          <cell r="B732" t="str">
            <v>M6122R</v>
          </cell>
          <cell r="C732" t="str">
            <v>Men's Shorts</v>
          </cell>
          <cell r="D732" t="str">
            <v>Athletic Heather Grey</v>
          </cell>
          <cell r="E732" t="str">
            <v>BODY: 65%COTTON 35%POLYESTE...</v>
          </cell>
          <cell r="F732" t="str">
            <v>VN</v>
          </cell>
          <cell r="H732">
            <v>12.48</v>
          </cell>
          <cell r="I732">
            <v>26</v>
          </cell>
          <cell r="J732">
            <v>324.48</v>
          </cell>
          <cell r="K732" t="str">
            <v>6103.42.1050</v>
          </cell>
          <cell r="L732" t="str">
            <v>6103.42.00.00.00</v>
          </cell>
        </row>
        <row r="733">
          <cell r="B733" t="str">
            <v>M6122R</v>
          </cell>
          <cell r="C733" t="str">
            <v>Men's Shorts</v>
          </cell>
          <cell r="D733" t="str">
            <v>Burgundy Truffle</v>
          </cell>
          <cell r="E733" t="str">
            <v>BODY: 65%COTTON 35%POLYESTE...</v>
          </cell>
          <cell r="F733" t="str">
            <v>VN</v>
          </cell>
          <cell r="H733">
            <v>14.23</v>
          </cell>
          <cell r="I733">
            <v>14</v>
          </cell>
          <cell r="J733">
            <v>199.22</v>
          </cell>
          <cell r="K733" t="str">
            <v>6103.42.1050</v>
          </cell>
          <cell r="L733" t="str">
            <v>6103.42.00.00.00</v>
          </cell>
        </row>
        <row r="734">
          <cell r="B734" t="str">
            <v>M6122R</v>
          </cell>
          <cell r="C734" t="str">
            <v>Men's Shorts</v>
          </cell>
          <cell r="D734" t="str">
            <v>Celestial Blue</v>
          </cell>
          <cell r="E734" t="str">
            <v>BODY: 65%COTTON 35%POLYESTE...</v>
          </cell>
          <cell r="F734" t="str">
            <v>VN</v>
          </cell>
          <cell r="H734">
            <v>14.23</v>
          </cell>
          <cell r="I734">
            <v>16</v>
          </cell>
          <cell r="J734">
            <v>227.68</v>
          </cell>
          <cell r="K734" t="str">
            <v>6103.42.1050</v>
          </cell>
          <cell r="L734" t="str">
            <v>6103.42.00.00.00</v>
          </cell>
        </row>
        <row r="735">
          <cell r="B735" t="str">
            <v>M6122R</v>
          </cell>
          <cell r="C735" t="str">
            <v>Men's Shorts</v>
          </cell>
          <cell r="D735" t="str">
            <v>Winter Ivy</v>
          </cell>
          <cell r="E735" t="str">
            <v>BODY: 65%COTTON 35%POLYESTE...</v>
          </cell>
          <cell r="F735" t="str">
            <v>VN</v>
          </cell>
          <cell r="H735">
            <v>14.23</v>
          </cell>
          <cell r="I735">
            <v>14</v>
          </cell>
          <cell r="J735">
            <v>199.22</v>
          </cell>
          <cell r="K735" t="str">
            <v>6103.42.1050</v>
          </cell>
          <cell r="L735" t="str">
            <v>6103.42.00.00.00</v>
          </cell>
        </row>
        <row r="736">
          <cell r="B736" t="str">
            <v>M5213R</v>
          </cell>
          <cell r="C736" t="str">
            <v>Men's Other Bottoms</v>
          </cell>
          <cell r="D736" t="str">
            <v>Black</v>
          </cell>
          <cell r="E736" t="str">
            <v>49%VISCOSE 29%POLYESTER 18%...</v>
          </cell>
          <cell r="F736" t="str">
            <v>VN</v>
          </cell>
          <cell r="H736">
            <v>22.01</v>
          </cell>
          <cell r="I736">
            <v>21</v>
          </cell>
          <cell r="J736">
            <v>462.21</v>
          </cell>
          <cell r="K736" t="str">
            <v>6103.43.1520</v>
          </cell>
          <cell r="L736" t="str">
            <v>6103.43.00.00.00</v>
          </cell>
        </row>
        <row r="737">
          <cell r="B737" t="str">
            <v>M5213R</v>
          </cell>
          <cell r="C737" t="str">
            <v>Men's Other Bottoms</v>
          </cell>
          <cell r="D737" t="str">
            <v>Athletic Heather Grey</v>
          </cell>
          <cell r="E737" t="str">
            <v>47%POLYESTER 35%VISCOSE 14%...</v>
          </cell>
          <cell r="F737" t="str">
            <v>VN</v>
          </cell>
          <cell r="H737">
            <v>22.01</v>
          </cell>
          <cell r="I737">
            <v>21</v>
          </cell>
          <cell r="J737">
            <v>462.21</v>
          </cell>
          <cell r="K737" t="str">
            <v>6103.43.1520</v>
          </cell>
          <cell r="L737" t="str">
            <v>6103.43.00.00.00</v>
          </cell>
        </row>
        <row r="738">
          <cell r="B738" t="str">
            <v>M5213R</v>
          </cell>
          <cell r="C738" t="str">
            <v>Men's Other Bottoms</v>
          </cell>
          <cell r="D738" t="str">
            <v>Gravel</v>
          </cell>
          <cell r="E738" t="str">
            <v>49%VISCOSE 29%POLYESTER 18%...</v>
          </cell>
          <cell r="F738" t="str">
            <v>VN</v>
          </cell>
          <cell r="H738">
            <v>22.01</v>
          </cell>
          <cell r="I738">
            <v>19</v>
          </cell>
          <cell r="J738">
            <v>418.19</v>
          </cell>
          <cell r="K738" t="str">
            <v>6103.43.1520</v>
          </cell>
          <cell r="L738" t="str">
            <v>6103.43.00.00.00</v>
          </cell>
        </row>
        <row r="739">
          <cell r="B739" t="str">
            <v>U5012RG</v>
          </cell>
          <cell r="C739" t="str">
            <v>Unisex Other Bottoms</v>
          </cell>
          <cell r="D739" t="str">
            <v>Steel Grey</v>
          </cell>
          <cell r="E739" t="str">
            <v>65%COTTON 35%POLYESTER&gt;EXC...</v>
          </cell>
          <cell r="F739" t="str">
            <v>VN</v>
          </cell>
          <cell r="H739">
            <v>10.66</v>
          </cell>
          <cell r="I739">
            <v>29</v>
          </cell>
          <cell r="J739">
            <v>309.14</v>
          </cell>
          <cell r="K739" t="str">
            <v>6104.62.2011</v>
          </cell>
          <cell r="L739" t="str">
            <v>6104.62.00.00.00</v>
          </cell>
        </row>
        <row r="740">
          <cell r="B740" t="str">
            <v>U5012RG</v>
          </cell>
          <cell r="C740" t="str">
            <v>Unisex Other Bottoms</v>
          </cell>
          <cell r="D740" t="str">
            <v>Winter Ivy</v>
          </cell>
          <cell r="E740" t="str">
            <v>65%COTTON 35%POLYESTER&gt;EXC...</v>
          </cell>
          <cell r="F740" t="str">
            <v>VN</v>
          </cell>
          <cell r="H740">
            <v>14.85</v>
          </cell>
          <cell r="I740">
            <v>24</v>
          </cell>
          <cell r="J740">
            <v>356.4</v>
          </cell>
          <cell r="K740" t="str">
            <v>6104.62.2011</v>
          </cell>
          <cell r="L740" t="str">
            <v>6104.62.00.00.00</v>
          </cell>
        </row>
        <row r="741">
          <cell r="B741" t="str">
            <v>U5013RG</v>
          </cell>
          <cell r="C741" t="str">
            <v>Unisex Other Bottoms</v>
          </cell>
          <cell r="D741" t="str">
            <v>Anthracite</v>
          </cell>
          <cell r="E741" t="str">
            <v>65%COTTON 35%POLYESTER&gt;EXC...</v>
          </cell>
          <cell r="F741" t="str">
            <v>VN</v>
          </cell>
          <cell r="H741">
            <v>10.28</v>
          </cell>
          <cell r="I741">
            <v>40</v>
          </cell>
          <cell r="J741">
            <v>411.2</v>
          </cell>
          <cell r="K741" t="str">
            <v>6104.62.2011</v>
          </cell>
          <cell r="L741" t="str">
            <v>6104.62.00.00.00</v>
          </cell>
        </row>
        <row r="742">
          <cell r="B742" t="str">
            <v>W51119R</v>
          </cell>
          <cell r="C742" t="str">
            <v>Women's 7/8 Leggings</v>
          </cell>
          <cell r="D742" t="str">
            <v>Black</v>
          </cell>
          <cell r="E742" t="str">
            <v>87%NYLON 13%ELASTANE</v>
          </cell>
          <cell r="F742" t="str">
            <v>VN</v>
          </cell>
          <cell r="H742">
            <v>15</v>
          </cell>
          <cell r="I742">
            <v>251</v>
          </cell>
          <cell r="J742">
            <v>3765</v>
          </cell>
          <cell r="K742" t="str">
            <v>6104.63.2006</v>
          </cell>
          <cell r="L742" t="str">
            <v>6115.22.00.00.00</v>
          </cell>
        </row>
        <row r="743">
          <cell r="B743" t="str">
            <v>W51298R</v>
          </cell>
          <cell r="C743" t="str">
            <v>Women's Leggings</v>
          </cell>
          <cell r="D743" t="str">
            <v>Black/White</v>
          </cell>
          <cell r="E743" t="str">
            <v>87%NYLON 13%ELASTANE&gt;EXCLU...</v>
          </cell>
          <cell r="F743" t="str">
            <v>VN</v>
          </cell>
          <cell r="H743">
            <v>20.86</v>
          </cell>
          <cell r="I743">
            <v>40</v>
          </cell>
          <cell r="J743">
            <v>834.4</v>
          </cell>
          <cell r="K743" t="str">
            <v>6104.63.2006</v>
          </cell>
          <cell r="L743" t="str">
            <v>6115.22.00.00.00</v>
          </cell>
        </row>
        <row r="744">
          <cell r="B744" t="str">
            <v>W51428R</v>
          </cell>
          <cell r="C744" t="str">
            <v>Women's Leggings</v>
          </cell>
          <cell r="D744" t="str">
            <v>Navy/Navy</v>
          </cell>
          <cell r="E744" t="str">
            <v>77%POLYESTER 23%ELASTANE&gt;E...</v>
          </cell>
          <cell r="F744" t="str">
            <v>TH</v>
          </cell>
          <cell r="H744">
            <v>12.58</v>
          </cell>
          <cell r="I744">
            <v>21</v>
          </cell>
          <cell r="J744">
            <v>264.18</v>
          </cell>
          <cell r="K744" t="str">
            <v>6104.63.2006</v>
          </cell>
          <cell r="L744" t="str">
            <v>6115.22.00.00.00</v>
          </cell>
        </row>
        <row r="745">
          <cell r="B745" t="str">
            <v>W51428R</v>
          </cell>
          <cell r="C745" t="str">
            <v>Women's Leggings</v>
          </cell>
          <cell r="D745" t="str">
            <v>Burgundy Truffle/Black</v>
          </cell>
          <cell r="E745" t="str">
            <v>77%POLYESTER 23%ELASTANE&gt;E...</v>
          </cell>
          <cell r="F745" t="str">
            <v>KH</v>
          </cell>
          <cell r="H745">
            <v>12.58</v>
          </cell>
          <cell r="I745">
            <v>15</v>
          </cell>
          <cell r="J745">
            <v>188.7</v>
          </cell>
          <cell r="K745" t="str">
            <v>6104.63.2006</v>
          </cell>
          <cell r="L745" t="str">
            <v>6115.22.00.00.00</v>
          </cell>
        </row>
        <row r="746">
          <cell r="B746" t="str">
            <v>W54172R</v>
          </cell>
          <cell r="C746" t="str">
            <v>Women's Leggings</v>
          </cell>
          <cell r="D746" t="str">
            <v>Athletic Heather Grey/White</v>
          </cell>
          <cell r="E746" t="str">
            <v>87%POLYESTER 13%ELASTANE&gt;E...</v>
          </cell>
          <cell r="F746" t="str">
            <v>VN</v>
          </cell>
          <cell r="H746">
            <v>11.62</v>
          </cell>
          <cell r="I746">
            <v>14</v>
          </cell>
          <cell r="J746">
            <v>162.68</v>
          </cell>
          <cell r="K746" t="str">
            <v>6104.63.2006</v>
          </cell>
          <cell r="L746" t="str">
            <v>6115.22.00.00.00</v>
          </cell>
        </row>
        <row r="747">
          <cell r="B747" t="str">
            <v>W5473R</v>
          </cell>
          <cell r="C747" t="str">
            <v>Women's Leggings</v>
          </cell>
          <cell r="D747" t="str">
            <v>Burgundy Truffle</v>
          </cell>
          <cell r="E747" t="str">
            <v>87%NYLON 13%ELASTANE</v>
          </cell>
          <cell r="F747" t="str">
            <v>VN</v>
          </cell>
          <cell r="H747">
            <v>10.6</v>
          </cell>
          <cell r="I747">
            <v>18</v>
          </cell>
          <cell r="J747">
            <v>190.8</v>
          </cell>
          <cell r="K747" t="str">
            <v>6104.63.2006</v>
          </cell>
          <cell r="L747" t="str">
            <v>6115.22.00.00.00</v>
          </cell>
        </row>
        <row r="748">
          <cell r="B748" t="str">
            <v>W5604R</v>
          </cell>
          <cell r="C748" t="str">
            <v>Women's 7/8 Leggings</v>
          </cell>
          <cell r="D748" t="str">
            <v>Black</v>
          </cell>
          <cell r="E748" t="str">
            <v>87%NYLON 13%ELASTANE</v>
          </cell>
          <cell r="F748" t="str">
            <v>VN</v>
          </cell>
          <cell r="H748">
            <v>10.46</v>
          </cell>
          <cell r="I748">
            <v>300</v>
          </cell>
          <cell r="J748">
            <v>3138</v>
          </cell>
          <cell r="K748" t="str">
            <v>6104.63.2006</v>
          </cell>
          <cell r="L748" t="str">
            <v>6115.22.00.00.00</v>
          </cell>
        </row>
        <row r="749">
          <cell r="B749" t="str">
            <v>W5766R</v>
          </cell>
          <cell r="C749" t="str">
            <v>Women's 7/8 Leggings</v>
          </cell>
          <cell r="D749" t="str">
            <v>Bold Red</v>
          </cell>
          <cell r="E749" t="str">
            <v>77%POLYESTER 23%ELASTANE</v>
          </cell>
          <cell r="F749" t="str">
            <v>VN</v>
          </cell>
          <cell r="H749">
            <v>9.75</v>
          </cell>
          <cell r="I749">
            <v>28</v>
          </cell>
          <cell r="J749">
            <v>273</v>
          </cell>
          <cell r="K749" t="str">
            <v>6104.63.2006</v>
          </cell>
          <cell r="L749" t="str">
            <v>6115.22.00.00.00</v>
          </cell>
        </row>
        <row r="750">
          <cell r="B750" t="str">
            <v>W5766R</v>
          </cell>
          <cell r="C750" t="str">
            <v>Women's 7/8 Leggings</v>
          </cell>
          <cell r="D750" t="str">
            <v>Sweet Pink</v>
          </cell>
          <cell r="E750" t="str">
            <v>77%POLYESTER 23%ELASTANE</v>
          </cell>
          <cell r="F750" t="str">
            <v>VN</v>
          </cell>
          <cell r="H750">
            <v>9.75</v>
          </cell>
          <cell r="I750">
            <v>24</v>
          </cell>
          <cell r="J750">
            <v>234</v>
          </cell>
          <cell r="K750" t="str">
            <v>6104.63.2006</v>
          </cell>
          <cell r="L750" t="str">
            <v>6115.22.00.00.00</v>
          </cell>
        </row>
        <row r="751">
          <cell r="B751" t="str">
            <v>W5766R</v>
          </cell>
          <cell r="C751" t="str">
            <v>Women's 7/8 Leggings</v>
          </cell>
          <cell r="D751" t="str">
            <v>Winter Ivy</v>
          </cell>
          <cell r="E751" t="str">
            <v>77%POLYESTER 23%ELASTANE</v>
          </cell>
          <cell r="F751" t="str">
            <v>VN</v>
          </cell>
          <cell r="H751">
            <v>9.75</v>
          </cell>
          <cell r="I751">
            <v>28</v>
          </cell>
          <cell r="J751">
            <v>273</v>
          </cell>
          <cell r="K751" t="str">
            <v>6104.63.2006</v>
          </cell>
          <cell r="L751" t="str">
            <v>6115.22.00.00.00</v>
          </cell>
        </row>
        <row r="752">
          <cell r="B752" t="str">
            <v>W5784R</v>
          </cell>
          <cell r="C752" t="str">
            <v>Women's Other Bottoms</v>
          </cell>
          <cell r="D752" t="str">
            <v>Celestial Blue</v>
          </cell>
          <cell r="E752" t="str">
            <v>74%POLYESTER 21%RAYON 5%EL...</v>
          </cell>
          <cell r="F752" t="str">
            <v>CN</v>
          </cell>
          <cell r="H752">
            <v>14.01</v>
          </cell>
          <cell r="I752">
            <v>14</v>
          </cell>
          <cell r="J752">
            <v>196.14</v>
          </cell>
          <cell r="K752" t="str">
            <v>6104.63.2006</v>
          </cell>
          <cell r="L752" t="str">
            <v>6104.63.00.00.00</v>
          </cell>
        </row>
        <row r="753">
          <cell r="B753" t="str">
            <v>W5912R</v>
          </cell>
          <cell r="C753" t="str">
            <v>Women's Other Bottoms</v>
          </cell>
          <cell r="D753" t="str">
            <v>Black</v>
          </cell>
          <cell r="E753" t="str">
            <v>63%POLYESTER 34%VISCOSE 3%ELASTANE</v>
          </cell>
          <cell r="F753" t="str">
            <v>VN</v>
          </cell>
          <cell r="H753">
            <v>12.46</v>
          </cell>
          <cell r="I753">
            <v>40</v>
          </cell>
          <cell r="J753">
            <v>498.4</v>
          </cell>
          <cell r="K753" t="str">
            <v>6104.63.2006</v>
          </cell>
          <cell r="L753" t="str">
            <v>6104.63.00.00.00</v>
          </cell>
        </row>
        <row r="754">
          <cell r="B754" t="str">
            <v>W5912R</v>
          </cell>
          <cell r="C754" t="str">
            <v>Women's Other Bottoms</v>
          </cell>
          <cell r="D754" t="str">
            <v>Athletic Heather Grey</v>
          </cell>
          <cell r="E754" t="str">
            <v>63%POLYESTER 34%VISCOSE 3%ELASTANE</v>
          </cell>
          <cell r="F754" t="str">
            <v>VN</v>
          </cell>
          <cell r="H754">
            <v>12.46</v>
          </cell>
          <cell r="I754">
            <v>30</v>
          </cell>
          <cell r="J754">
            <v>373.8</v>
          </cell>
          <cell r="K754" t="str">
            <v>6104.63.2006</v>
          </cell>
          <cell r="L754" t="str">
            <v>6104.63.00.00.00</v>
          </cell>
        </row>
        <row r="755">
          <cell r="B755" t="str">
            <v>W3892R</v>
          </cell>
          <cell r="C755" t="str">
            <v>Women's Cover Ups</v>
          </cell>
          <cell r="D755" t="str">
            <v>Black</v>
          </cell>
          <cell r="E755" t="str">
            <v>100%POLYESTER&gt;EXCLUSIVE OF TRIMMING</v>
          </cell>
          <cell r="F755" t="str">
            <v>KH</v>
          </cell>
          <cell r="H755">
            <v>23.17</v>
          </cell>
          <cell r="I755">
            <v>26</v>
          </cell>
          <cell r="J755">
            <v>602.41999999999996</v>
          </cell>
          <cell r="K755" t="str">
            <v>6106.20.2010</v>
          </cell>
          <cell r="L755" t="str">
            <v>6106.20.00.00.00</v>
          </cell>
        </row>
        <row r="756">
          <cell r="B756" t="str">
            <v>W3892R</v>
          </cell>
          <cell r="C756" t="str">
            <v>Women's Cover Ups</v>
          </cell>
          <cell r="D756" t="str">
            <v>Burgundy Truffle</v>
          </cell>
          <cell r="E756" t="str">
            <v>100%POLYESTER&gt;EXCLUSIVE OF TRIMMING</v>
          </cell>
          <cell r="F756" t="str">
            <v>KH</v>
          </cell>
          <cell r="H756">
            <v>23.17</v>
          </cell>
          <cell r="I756">
            <v>24</v>
          </cell>
          <cell r="J756">
            <v>556.08000000000004</v>
          </cell>
          <cell r="K756" t="str">
            <v>6106.20.2010</v>
          </cell>
          <cell r="L756" t="str">
            <v>6106.20.00.00.00</v>
          </cell>
        </row>
        <row r="757">
          <cell r="B757" t="str">
            <v>M1205R</v>
          </cell>
          <cell r="C757" t="str">
            <v>Men's Short Sleeve Tops</v>
          </cell>
          <cell r="D757" t="str">
            <v>Burgundy Truffle</v>
          </cell>
          <cell r="E757" t="str">
            <v>94%POLYESTER 6%ELASTANE</v>
          </cell>
          <cell r="F757" t="str">
            <v>NI</v>
          </cell>
          <cell r="H757">
            <v>8.93</v>
          </cell>
          <cell r="I757">
            <v>16</v>
          </cell>
          <cell r="J757">
            <v>142.88</v>
          </cell>
          <cell r="K757" t="str">
            <v>6109.90.1007</v>
          </cell>
          <cell r="L757" t="str">
            <v>6109.90.90.00.00</v>
          </cell>
        </row>
        <row r="758">
          <cell r="B758" t="str">
            <v>W9777R</v>
          </cell>
          <cell r="C758" t="str">
            <v>Women's Tanks</v>
          </cell>
          <cell r="D758" t="str">
            <v>Ivory</v>
          </cell>
          <cell r="E758" t="str">
            <v>BODY: 93%VISCOSE 7%ELASTANE...</v>
          </cell>
          <cell r="F758" t="str">
            <v>VN</v>
          </cell>
          <cell r="H758">
            <v>10.15</v>
          </cell>
          <cell r="I758">
            <v>14</v>
          </cell>
          <cell r="J758">
            <v>142.1</v>
          </cell>
          <cell r="K758" t="str">
            <v>6109.90.1065</v>
          </cell>
          <cell r="L758" t="str">
            <v>6109.90.20.00.12</v>
          </cell>
        </row>
        <row r="759">
          <cell r="B759" t="str">
            <v>W3814R</v>
          </cell>
          <cell r="C759" t="str">
            <v>Women's Cover Ups</v>
          </cell>
          <cell r="D759" t="str">
            <v>Bold Red</v>
          </cell>
          <cell r="E759" t="str">
            <v>SHELL &amp; HOOD LINING: 65%COTTO...</v>
          </cell>
          <cell r="F759" t="str">
            <v>VN</v>
          </cell>
          <cell r="H759">
            <v>15.73</v>
          </cell>
          <cell r="I759">
            <v>16</v>
          </cell>
          <cell r="J759">
            <v>251.68</v>
          </cell>
          <cell r="K759" t="str">
            <v>6110.20.2020</v>
          </cell>
          <cell r="L759" t="str">
            <v>6110.20.99.00.00</v>
          </cell>
        </row>
        <row r="760">
          <cell r="B760" t="str">
            <v>M3207R</v>
          </cell>
          <cell r="C760" t="str">
            <v>Men's Cover Ups</v>
          </cell>
          <cell r="D760" t="str">
            <v>Black</v>
          </cell>
          <cell r="E760" t="str">
            <v>BODY: 35%POLYESTER 65%COTTO...</v>
          </cell>
          <cell r="F760" t="str">
            <v>VN</v>
          </cell>
          <cell r="H760">
            <v>13.99</v>
          </cell>
          <cell r="I760">
            <v>19</v>
          </cell>
          <cell r="J760">
            <v>265.81</v>
          </cell>
          <cell r="K760" t="str">
            <v>6110.20.2069</v>
          </cell>
          <cell r="L760" t="str">
            <v>6110.20.91.00.00</v>
          </cell>
        </row>
        <row r="761">
          <cell r="B761" t="str">
            <v>M3207R</v>
          </cell>
          <cell r="C761" t="str">
            <v>Men's Cover Ups</v>
          </cell>
          <cell r="D761" t="str">
            <v>Bone</v>
          </cell>
          <cell r="E761" t="str">
            <v>BODY: 35%POLYESTER 65%COTTO...</v>
          </cell>
          <cell r="F761" t="str">
            <v>VN</v>
          </cell>
          <cell r="H761">
            <v>13.99</v>
          </cell>
          <cell r="I761">
            <v>16</v>
          </cell>
          <cell r="J761">
            <v>223.84</v>
          </cell>
          <cell r="K761" t="str">
            <v>6110.20.2069</v>
          </cell>
          <cell r="L761" t="str">
            <v>6110.20.91.00.00</v>
          </cell>
        </row>
        <row r="762">
          <cell r="B762" t="str">
            <v>U3040RG</v>
          </cell>
          <cell r="C762" t="str">
            <v>Unisex Cover Ups</v>
          </cell>
          <cell r="D762" t="str">
            <v>Anthracite</v>
          </cell>
          <cell r="E762" t="str">
            <v>BODY: 65%COTTON 35%POLYESTE...</v>
          </cell>
          <cell r="F762" t="str">
            <v>VN</v>
          </cell>
          <cell r="H762">
            <v>15.58</v>
          </cell>
          <cell r="I762">
            <v>30</v>
          </cell>
          <cell r="J762">
            <v>467.4</v>
          </cell>
          <cell r="K762" t="str">
            <v>6110.20.2069</v>
          </cell>
          <cell r="L762" t="str">
            <v>6110.20.91.00.00</v>
          </cell>
        </row>
        <row r="763">
          <cell r="B763" t="str">
            <v>U3040RG</v>
          </cell>
          <cell r="C763" t="str">
            <v>Unisex Cover Ups</v>
          </cell>
          <cell r="D763" t="str">
            <v>Athletic Heather Grey</v>
          </cell>
          <cell r="E763" t="str">
            <v>BODY: 65%COTTON 35%POLYESTE...</v>
          </cell>
          <cell r="F763" t="str">
            <v>VN</v>
          </cell>
          <cell r="H763">
            <v>15.58</v>
          </cell>
          <cell r="I763">
            <v>24</v>
          </cell>
          <cell r="J763">
            <v>373.92</v>
          </cell>
          <cell r="K763" t="str">
            <v>6110.20.2069</v>
          </cell>
          <cell r="L763" t="str">
            <v>6110.20.91.00.00</v>
          </cell>
        </row>
        <row r="764">
          <cell r="B764" t="str">
            <v>U3041RG</v>
          </cell>
          <cell r="C764" t="str">
            <v>Unisex Cover Ups</v>
          </cell>
          <cell r="D764" t="str">
            <v>Black</v>
          </cell>
          <cell r="E764" t="str">
            <v>BODY: 65%COTTON 35%POLYESTE...</v>
          </cell>
          <cell r="F764" t="str">
            <v>VN</v>
          </cell>
          <cell r="H764">
            <v>16.46</v>
          </cell>
          <cell r="I764">
            <v>30</v>
          </cell>
          <cell r="J764">
            <v>493.8</v>
          </cell>
          <cell r="K764" t="str">
            <v>6110.20.2069</v>
          </cell>
          <cell r="L764" t="str">
            <v>6110.20.91.00.00</v>
          </cell>
        </row>
        <row r="765">
          <cell r="B765" t="str">
            <v>U3041RG</v>
          </cell>
          <cell r="C765" t="str">
            <v>Unisex Cover Ups</v>
          </cell>
          <cell r="D765" t="str">
            <v>Athletic Heather Grey</v>
          </cell>
          <cell r="E765" t="str">
            <v>BODY: 65%COTTON 35%POLYESTE...</v>
          </cell>
          <cell r="F765" t="str">
            <v>VN</v>
          </cell>
          <cell r="H765">
            <v>16.46</v>
          </cell>
          <cell r="I765">
            <v>30</v>
          </cell>
          <cell r="J765">
            <v>493.8</v>
          </cell>
          <cell r="K765" t="str">
            <v>6110.20.2069</v>
          </cell>
          <cell r="L765" t="str">
            <v>6110.20.91.00.00</v>
          </cell>
        </row>
        <row r="766">
          <cell r="B766" t="str">
            <v>U3041RG</v>
          </cell>
          <cell r="C766" t="str">
            <v>Unisex Cover Ups</v>
          </cell>
          <cell r="D766" t="str">
            <v>Oat Milk</v>
          </cell>
          <cell r="E766" t="str">
            <v>BODY: 65%COTTON 35%POLYESTE...</v>
          </cell>
          <cell r="F766" t="str">
            <v>VN</v>
          </cell>
          <cell r="H766">
            <v>20.440000000000001</v>
          </cell>
          <cell r="I766">
            <v>30</v>
          </cell>
          <cell r="J766">
            <v>613.20000000000005</v>
          </cell>
          <cell r="K766" t="str">
            <v>6110.20.2069</v>
          </cell>
          <cell r="L766" t="str">
            <v>6110.20.91.00.00</v>
          </cell>
        </row>
        <row r="767">
          <cell r="B767" t="str">
            <v>M3254R</v>
          </cell>
          <cell r="C767" t="str">
            <v>Men's Cover Ups</v>
          </cell>
          <cell r="D767" t="str">
            <v>Black Wash</v>
          </cell>
          <cell r="E767" t="str">
            <v>BODY: 65%COTTON 35%POLYESTE...</v>
          </cell>
          <cell r="F767" t="str">
            <v>VN</v>
          </cell>
          <cell r="H767">
            <v>22.84</v>
          </cell>
          <cell r="I767">
            <v>16</v>
          </cell>
          <cell r="J767">
            <v>365.44</v>
          </cell>
          <cell r="K767" t="str">
            <v>6110.20.2079</v>
          </cell>
          <cell r="L767" t="str">
            <v>6110.20.99.00.00</v>
          </cell>
        </row>
        <row r="768">
          <cell r="B768" t="str">
            <v>U3031RG</v>
          </cell>
          <cell r="C768" t="str">
            <v>Unisex Cover Ups</v>
          </cell>
          <cell r="D768" t="str">
            <v>Bold Red</v>
          </cell>
          <cell r="E768" t="str">
            <v>BODY: 65%COTTON 35%POLYESTE...</v>
          </cell>
          <cell r="F768" t="str">
            <v>VN</v>
          </cell>
          <cell r="H768">
            <v>13.21</v>
          </cell>
          <cell r="I768">
            <v>21</v>
          </cell>
          <cell r="J768">
            <v>277.41000000000003</v>
          </cell>
          <cell r="K768" t="str">
            <v>6110.20.2079</v>
          </cell>
          <cell r="L768" t="str">
            <v>6110.20.99.00.00</v>
          </cell>
        </row>
        <row r="769">
          <cell r="B769" t="str">
            <v>U3032RG</v>
          </cell>
          <cell r="C769" t="str">
            <v>Unisex Cover Ups</v>
          </cell>
          <cell r="D769" t="str">
            <v>Steel Grey</v>
          </cell>
          <cell r="E769" t="str">
            <v>BODY: 65%COTTON 35%POLYESTE...</v>
          </cell>
          <cell r="F769" t="str">
            <v>VN</v>
          </cell>
          <cell r="H769">
            <v>13.6</v>
          </cell>
          <cell r="I769">
            <v>29</v>
          </cell>
          <cell r="J769">
            <v>394.4</v>
          </cell>
          <cell r="K769" t="str">
            <v>6110.20.2079</v>
          </cell>
          <cell r="L769" t="str">
            <v>6110.20.99.00.00</v>
          </cell>
        </row>
        <row r="770">
          <cell r="B770" t="str">
            <v>W3924RG</v>
          </cell>
          <cell r="C770" t="str">
            <v>Women's Cover Ups</v>
          </cell>
          <cell r="D770" t="str">
            <v>Black</v>
          </cell>
          <cell r="E770" t="str">
            <v>BODY: 65%COTTON 35%POLYESTE...</v>
          </cell>
          <cell r="F770" t="str">
            <v>VN</v>
          </cell>
          <cell r="H770">
            <v>10.65</v>
          </cell>
          <cell r="I770">
            <v>31</v>
          </cell>
          <cell r="J770">
            <v>330.15</v>
          </cell>
          <cell r="K770" t="str">
            <v>6110.20.2079</v>
          </cell>
          <cell r="L770" t="str">
            <v>6110.20.99.00.00</v>
          </cell>
        </row>
        <row r="771">
          <cell r="B771" t="str">
            <v>M3199R</v>
          </cell>
          <cell r="C771" t="str">
            <v>Men's Long Sleeve Tops</v>
          </cell>
          <cell r="D771" t="str">
            <v>Burgundy Truffle</v>
          </cell>
          <cell r="E771" t="str">
            <v>94%POLYESTER 6%ELASTANE</v>
          </cell>
          <cell r="F771" t="str">
            <v>VN</v>
          </cell>
          <cell r="H771">
            <v>12.45</v>
          </cell>
          <cell r="I771">
            <v>14</v>
          </cell>
          <cell r="J771">
            <v>174.3</v>
          </cell>
          <cell r="K771" t="str">
            <v>6110.30.3053</v>
          </cell>
          <cell r="L771" t="str">
            <v>6110.30.91.00.00</v>
          </cell>
        </row>
        <row r="772">
          <cell r="B772" t="str">
            <v>W3438R</v>
          </cell>
          <cell r="C772" t="str">
            <v>Women's Cover Ups</v>
          </cell>
          <cell r="D772" t="str">
            <v>Celestial Blue</v>
          </cell>
          <cell r="E772" t="str">
            <v>74%POLYESTER 21%RAYON 5%ELASTANE</v>
          </cell>
          <cell r="F772" t="str">
            <v>CN</v>
          </cell>
          <cell r="H772">
            <v>12.83</v>
          </cell>
          <cell r="I772">
            <v>16</v>
          </cell>
          <cell r="J772">
            <v>205.28</v>
          </cell>
          <cell r="K772" t="str">
            <v>6110.30.3059</v>
          </cell>
          <cell r="L772" t="str">
            <v>6110.30.99.00.00</v>
          </cell>
        </row>
        <row r="773">
          <cell r="B773" t="str">
            <v>W3694R</v>
          </cell>
          <cell r="C773" t="str">
            <v>Women's Long Sleeve Tops</v>
          </cell>
          <cell r="D773" t="str">
            <v>Black</v>
          </cell>
          <cell r="E773" t="str">
            <v>87%POLYESTER 13%ELASTANE</v>
          </cell>
          <cell r="F773" t="str">
            <v>VN</v>
          </cell>
          <cell r="H773">
            <v>16.62</v>
          </cell>
          <cell r="I773">
            <v>69</v>
          </cell>
          <cell r="J773">
            <v>1146.78</v>
          </cell>
          <cell r="K773" t="str">
            <v>6110.30.3059</v>
          </cell>
          <cell r="L773" t="str">
            <v>6110.30.99.00.00</v>
          </cell>
        </row>
        <row r="774">
          <cell r="B774" t="str">
            <v>W3694R</v>
          </cell>
          <cell r="C774" t="str">
            <v>Women's Long Sleeve Tops</v>
          </cell>
          <cell r="D774" t="str">
            <v>Sweet Pink</v>
          </cell>
          <cell r="E774" t="str">
            <v>87%POLYESTER 13%ELASTANE</v>
          </cell>
          <cell r="F774" t="str">
            <v>VN</v>
          </cell>
          <cell r="H774">
            <v>16.62</v>
          </cell>
          <cell r="I774">
            <v>14</v>
          </cell>
          <cell r="J774">
            <v>232.68</v>
          </cell>
          <cell r="K774" t="str">
            <v>6110.30.3059</v>
          </cell>
          <cell r="L774" t="str">
            <v>6110.30.99.00.00</v>
          </cell>
        </row>
        <row r="775">
          <cell r="B775" t="str">
            <v>W3345R</v>
          </cell>
          <cell r="C775" t="str">
            <v>Women's Long Sleeve Tops</v>
          </cell>
          <cell r="D775" t="str">
            <v>White</v>
          </cell>
          <cell r="E775" t="str">
            <v>ALL: 95%MODAL 5%ELASTANE</v>
          </cell>
          <cell r="F775" t="str">
            <v>VN</v>
          </cell>
          <cell r="H775">
            <v>10.6</v>
          </cell>
          <cell r="I775">
            <v>31</v>
          </cell>
          <cell r="J775">
            <v>328.6</v>
          </cell>
          <cell r="K775" t="str">
            <v>6114.30.1020</v>
          </cell>
          <cell r="L775" t="str">
            <v>6114.30.00.00.11</v>
          </cell>
        </row>
        <row r="776">
          <cell r="B776" t="str">
            <v>W3345R</v>
          </cell>
          <cell r="C776" t="str">
            <v>Women's Long Sleeve Tops</v>
          </cell>
          <cell r="D776" t="str">
            <v>Black</v>
          </cell>
          <cell r="E776" t="str">
            <v>ALL: 95%MODAL 5%ELASTANE</v>
          </cell>
          <cell r="F776" t="str">
            <v>VN</v>
          </cell>
          <cell r="H776">
            <v>10.6</v>
          </cell>
          <cell r="I776">
            <v>41</v>
          </cell>
          <cell r="J776">
            <v>434.6</v>
          </cell>
          <cell r="K776" t="str">
            <v>6114.30.1020</v>
          </cell>
          <cell r="L776" t="str">
            <v>6114.30.00.00.11</v>
          </cell>
        </row>
        <row r="777">
          <cell r="B777" t="str">
            <v>W9730R</v>
          </cell>
          <cell r="C777" t="str">
            <v>Women's Tanks</v>
          </cell>
          <cell r="D777" t="str">
            <v>Sweet Pink</v>
          </cell>
          <cell r="E777" t="str">
            <v>95%NYLON 5%ELASTANE</v>
          </cell>
          <cell r="F777" t="str">
            <v>LK</v>
          </cell>
          <cell r="H777">
            <v>14.96</v>
          </cell>
          <cell r="I777">
            <v>18</v>
          </cell>
          <cell r="J777">
            <v>269.27999999999997</v>
          </cell>
          <cell r="K777" t="str">
            <v>6114.30.1020</v>
          </cell>
          <cell r="L777" t="str">
            <v>6114.30.00.00.11</v>
          </cell>
        </row>
        <row r="778">
          <cell r="B778" t="str">
            <v>W9800R</v>
          </cell>
          <cell r="C778" t="str">
            <v>Women's Tanks</v>
          </cell>
          <cell r="D778" t="str">
            <v>Black</v>
          </cell>
          <cell r="E778" t="str">
            <v>BODY: 93%MODAL 7%ELASTANE&gt;...</v>
          </cell>
          <cell r="F778" t="str">
            <v>VN</v>
          </cell>
          <cell r="H778">
            <v>10.43</v>
          </cell>
          <cell r="I778">
            <v>16</v>
          </cell>
          <cell r="J778">
            <v>166.88</v>
          </cell>
          <cell r="K778" t="str">
            <v>6114.30.1020</v>
          </cell>
          <cell r="L778" t="str">
            <v>6114.30.00.00.11</v>
          </cell>
        </row>
        <row r="779">
          <cell r="B779" t="str">
            <v>W8295R</v>
          </cell>
          <cell r="C779" t="str">
            <v>Women's One-Pieces</v>
          </cell>
          <cell r="D779" t="str">
            <v>Black</v>
          </cell>
          <cell r="E779" t="str">
            <v>87%NYLON 13%ELASTANE</v>
          </cell>
          <cell r="F779" t="str">
            <v>VN</v>
          </cell>
          <cell r="H779">
            <v>21.65</v>
          </cell>
          <cell r="I779">
            <v>22</v>
          </cell>
          <cell r="J779">
            <v>476.3</v>
          </cell>
          <cell r="K779" t="str">
            <v>6114.30.3054</v>
          </cell>
          <cell r="L779" t="str">
            <v>6114.30.00.00.11</v>
          </cell>
        </row>
        <row r="780">
          <cell r="B780" t="str">
            <v>A0480U</v>
          </cell>
          <cell r="C780" t="str">
            <v>Accessory - Socks</v>
          </cell>
          <cell r="D780" t="str">
            <v>Sweet Pink/White</v>
          </cell>
          <cell r="E780" t="str">
            <v>62%POLYESTER 30%RAYON 6%NY...</v>
          </cell>
          <cell r="F780" t="str">
            <v>TW</v>
          </cell>
          <cell r="H780">
            <v>2.79</v>
          </cell>
          <cell r="I780">
            <v>25</v>
          </cell>
          <cell r="J780">
            <v>69.75</v>
          </cell>
          <cell r="K780" t="str">
            <v>6115.96.9020</v>
          </cell>
          <cell r="L780" t="str">
            <v>6115.96.91.00.00</v>
          </cell>
        </row>
        <row r="781">
          <cell r="B781" t="str">
            <v>A0742U</v>
          </cell>
          <cell r="C781" t="str">
            <v>Accessory - Hair Management</v>
          </cell>
          <cell r="D781" t="str">
            <v>Black</v>
          </cell>
          <cell r="E781" t="str">
            <v>100%POLYESTER&gt;EXCLUSIVE OF TRIMMING</v>
          </cell>
          <cell r="F781" t="str">
            <v>VN</v>
          </cell>
          <cell r="H781">
            <v>4.47</v>
          </cell>
          <cell r="I781">
            <v>14</v>
          </cell>
          <cell r="J781">
            <v>62.58</v>
          </cell>
          <cell r="K781" t="str">
            <v>6117.80.8500</v>
          </cell>
          <cell r="L781" t="str">
            <v>6117.80.80.00.00</v>
          </cell>
        </row>
        <row r="782">
          <cell r="B782" t="str">
            <v>A0742U</v>
          </cell>
          <cell r="C782" t="str">
            <v>Accessory - Hair Management</v>
          </cell>
          <cell r="D782" t="str">
            <v>Burgundy Truffle</v>
          </cell>
          <cell r="E782" t="str">
            <v>100%POLYESTER&gt;EXCLUSIVE OF TRIMMING</v>
          </cell>
          <cell r="F782" t="str">
            <v>VN</v>
          </cell>
          <cell r="H782">
            <v>4.45</v>
          </cell>
          <cell r="I782">
            <v>14</v>
          </cell>
          <cell r="J782">
            <v>62.3</v>
          </cell>
          <cell r="K782" t="str">
            <v>6117.80.8500</v>
          </cell>
          <cell r="L782" t="str">
            <v>6117.80.80.00.00</v>
          </cell>
        </row>
        <row r="783">
          <cell r="B783" t="str">
            <v>W4609R</v>
          </cell>
          <cell r="C783" t="str">
            <v>Women's Outerwear</v>
          </cell>
          <cell r="D783" t="str">
            <v>Espresso</v>
          </cell>
          <cell r="E783" t="str">
            <v>SHELL &amp; LINING: 100%NYLON&gt;FILL...</v>
          </cell>
          <cell r="F783" t="str">
            <v>CN</v>
          </cell>
          <cell r="H783">
            <v>47.06</v>
          </cell>
          <cell r="I783">
            <v>19</v>
          </cell>
          <cell r="J783">
            <v>894.14</v>
          </cell>
          <cell r="K783" t="str">
            <v>6202.40.7000</v>
          </cell>
          <cell r="L783" t="str">
            <v>6202.40.10.00.11</v>
          </cell>
        </row>
        <row r="784">
          <cell r="B784" t="str">
            <v>W4609R</v>
          </cell>
          <cell r="C784" t="str">
            <v>Women's Outerwear</v>
          </cell>
          <cell r="D784" t="str">
            <v>Bold Red</v>
          </cell>
          <cell r="E784" t="str">
            <v>SHELL &amp; LINING: 100%NYLON&gt;FILL...</v>
          </cell>
          <cell r="F784" t="str">
            <v>CN</v>
          </cell>
          <cell r="H784">
            <v>47.06</v>
          </cell>
          <cell r="I784">
            <v>9</v>
          </cell>
          <cell r="J784">
            <v>423.54</v>
          </cell>
          <cell r="K784" t="str">
            <v>6202.40.7000</v>
          </cell>
          <cell r="L784" t="str">
            <v>6202.40.10.00.11</v>
          </cell>
        </row>
        <row r="785">
          <cell r="B785" t="str">
            <v>U4042R</v>
          </cell>
          <cell r="C785" t="str">
            <v>Unisex Outerwear</v>
          </cell>
          <cell r="D785" t="str">
            <v>Black</v>
          </cell>
          <cell r="E785" t="str">
            <v>SHELL: 100%NYLON&gt;LINING &amp; FILL...</v>
          </cell>
          <cell r="F785" t="str">
            <v>VN</v>
          </cell>
          <cell r="H785">
            <v>46.38</v>
          </cell>
          <cell r="I785">
            <v>11</v>
          </cell>
          <cell r="J785">
            <v>510.18</v>
          </cell>
          <cell r="K785" t="str">
            <v>6202.40.7511</v>
          </cell>
          <cell r="L785" t="str">
            <v>6202.40.10.00.11</v>
          </cell>
        </row>
        <row r="786">
          <cell r="B786" t="str">
            <v>U4042R</v>
          </cell>
          <cell r="C786" t="str">
            <v>Unisex Outerwear</v>
          </cell>
          <cell r="D786" t="str">
            <v>Burgundy Truffle</v>
          </cell>
          <cell r="E786" t="str">
            <v>SHELL: 100%NYLON&gt;LINING &amp; FILL...</v>
          </cell>
          <cell r="F786" t="str">
            <v>VN</v>
          </cell>
          <cell r="H786">
            <v>46.38</v>
          </cell>
          <cell r="I786">
            <v>10</v>
          </cell>
          <cell r="J786">
            <v>463.8</v>
          </cell>
          <cell r="K786" t="str">
            <v>6202.40.7511</v>
          </cell>
          <cell r="L786" t="str">
            <v>6202.40.10.00.11</v>
          </cell>
        </row>
        <row r="787">
          <cell r="B787" t="str">
            <v>M5173R</v>
          </cell>
          <cell r="C787" t="str">
            <v>Men's Trousers</v>
          </cell>
          <cell r="D787" t="str">
            <v>Burgundy Truffle</v>
          </cell>
          <cell r="E787" t="str">
            <v>75%COTTON 11%POLYESTER 11%...</v>
          </cell>
          <cell r="F787" t="str">
            <v>KH</v>
          </cell>
          <cell r="H787">
            <v>23.94</v>
          </cell>
          <cell r="I787">
            <v>9</v>
          </cell>
          <cell r="J787">
            <v>215.46</v>
          </cell>
          <cell r="K787" t="str">
            <v>6203.42.4516</v>
          </cell>
          <cell r="L787" t="str">
            <v>6203.42.35.00.00</v>
          </cell>
        </row>
        <row r="788">
          <cell r="B788" t="str">
            <v>M5190R</v>
          </cell>
          <cell r="C788" t="str">
            <v>Men's Bottoms/Pants</v>
          </cell>
          <cell r="D788" t="str">
            <v>Black</v>
          </cell>
          <cell r="E788" t="str">
            <v>BODY: 89%NYLON 11%ELASTANE&gt;...</v>
          </cell>
          <cell r="F788" t="str">
            <v>CN</v>
          </cell>
          <cell r="H788">
            <v>19.059999999999999</v>
          </cell>
          <cell r="I788">
            <v>23</v>
          </cell>
          <cell r="J788">
            <v>438.38</v>
          </cell>
          <cell r="K788" t="str">
            <v>6203.43.7590</v>
          </cell>
          <cell r="L788" t="str">
            <v>6203.43.19.00.00</v>
          </cell>
        </row>
        <row r="789">
          <cell r="B789" t="str">
            <v>M6154R</v>
          </cell>
          <cell r="C789" t="str">
            <v>Men's Shorts</v>
          </cell>
          <cell r="D789" t="str">
            <v>Black</v>
          </cell>
          <cell r="E789" t="str">
            <v>BODY: 86%POLYESTER 14%ELAST...</v>
          </cell>
          <cell r="F789" t="str">
            <v>VN</v>
          </cell>
          <cell r="H789">
            <v>10.3</v>
          </cell>
          <cell r="I789">
            <v>30</v>
          </cell>
          <cell r="J789">
            <v>309</v>
          </cell>
          <cell r="K789" t="str">
            <v>6203.43.9030</v>
          </cell>
          <cell r="L789" t="str">
            <v>6203.43.19.00.00</v>
          </cell>
        </row>
        <row r="790">
          <cell r="B790" t="str">
            <v>M6154R</v>
          </cell>
          <cell r="C790" t="str">
            <v>Men's Shorts</v>
          </cell>
          <cell r="D790" t="str">
            <v>Anthracite</v>
          </cell>
          <cell r="E790" t="str">
            <v>BODY: 86%POLYESTER 14%ELAST...</v>
          </cell>
          <cell r="F790" t="str">
            <v>VN</v>
          </cell>
          <cell r="H790">
            <v>10.3</v>
          </cell>
          <cell r="I790">
            <v>30</v>
          </cell>
          <cell r="J790">
            <v>309</v>
          </cell>
          <cell r="K790" t="str">
            <v>6203.43.9030</v>
          </cell>
          <cell r="L790" t="str">
            <v>6203.43.19.00.00</v>
          </cell>
        </row>
        <row r="791">
          <cell r="B791" t="str">
            <v>M6154R</v>
          </cell>
          <cell r="C791" t="str">
            <v>Men's Shorts</v>
          </cell>
          <cell r="D791" t="str">
            <v>Navy</v>
          </cell>
          <cell r="E791" t="str">
            <v>BODY: 86%POLYESTER 14%ELAST...</v>
          </cell>
          <cell r="F791" t="str">
            <v>VN</v>
          </cell>
          <cell r="H791">
            <v>10.3</v>
          </cell>
          <cell r="I791">
            <v>20</v>
          </cell>
          <cell r="J791">
            <v>206</v>
          </cell>
          <cell r="K791" t="str">
            <v>6203.43.9030</v>
          </cell>
          <cell r="L791" t="str">
            <v>6203.43.19.00.00</v>
          </cell>
        </row>
        <row r="792">
          <cell r="B792" t="str">
            <v>W54151R</v>
          </cell>
          <cell r="C792" t="str">
            <v>Women's Other Bottoms</v>
          </cell>
          <cell r="D792" t="str">
            <v>Black</v>
          </cell>
          <cell r="E792" t="str">
            <v>100%NYLON&gt;EXCLUSIVE OF TRIMMING</v>
          </cell>
          <cell r="F792" t="str">
            <v>VN</v>
          </cell>
          <cell r="H792">
            <v>20</v>
          </cell>
          <cell r="I792">
            <v>18</v>
          </cell>
          <cell r="J792">
            <v>360</v>
          </cell>
          <cell r="K792" t="str">
            <v>6204.63.1110</v>
          </cell>
          <cell r="L792" t="str">
            <v>6204.63.18.00.00</v>
          </cell>
        </row>
        <row r="793">
          <cell r="B793" t="str">
            <v>W54151R</v>
          </cell>
          <cell r="C793" t="str">
            <v>Women's Other Bottoms</v>
          </cell>
          <cell r="D793" t="str">
            <v>Winter Ivy</v>
          </cell>
          <cell r="E793" t="str">
            <v>100%NYLON&gt;EXCLUSIVE OF TRIMMING</v>
          </cell>
          <cell r="F793" t="str">
            <v>VN</v>
          </cell>
          <cell r="H793">
            <v>20</v>
          </cell>
          <cell r="I793">
            <v>11</v>
          </cell>
          <cell r="J793">
            <v>220</v>
          </cell>
          <cell r="K793" t="str">
            <v>6204.63.1110</v>
          </cell>
          <cell r="L793" t="str">
            <v>6204.63.18.00.00</v>
          </cell>
        </row>
        <row r="794">
          <cell r="B794" t="str">
            <v>W3874R</v>
          </cell>
          <cell r="C794" t="str">
            <v>Women's Cover Ups</v>
          </cell>
          <cell r="D794" t="str">
            <v>Black</v>
          </cell>
          <cell r="E794" t="str">
            <v>SHELL: 100%NYLON&gt;LINING: 100%...</v>
          </cell>
          <cell r="F794" t="str">
            <v>VN</v>
          </cell>
          <cell r="H794">
            <v>21.39</v>
          </cell>
          <cell r="I794">
            <v>18</v>
          </cell>
          <cell r="J794">
            <v>385.02</v>
          </cell>
          <cell r="K794" t="str">
            <v>6211.43.1078</v>
          </cell>
          <cell r="L794" t="str">
            <v>6211.43.41.00.00</v>
          </cell>
        </row>
        <row r="795">
          <cell r="B795" t="str">
            <v>W3874R</v>
          </cell>
          <cell r="C795" t="str">
            <v>Women's Cover Ups</v>
          </cell>
          <cell r="D795" t="str">
            <v>Winter Ivy</v>
          </cell>
          <cell r="E795" t="str">
            <v>SHELL: 100%NYLON&gt;LINING: 100%...</v>
          </cell>
          <cell r="F795" t="str">
            <v>VN</v>
          </cell>
          <cell r="H795">
            <v>21.39</v>
          </cell>
          <cell r="I795">
            <v>12</v>
          </cell>
          <cell r="J795">
            <v>256.68</v>
          </cell>
          <cell r="K795" t="str">
            <v>6211.43.1078</v>
          </cell>
          <cell r="L795" t="str">
            <v>6211.43.41.00.00</v>
          </cell>
        </row>
        <row r="796">
          <cell r="B796" t="str">
            <v>W9557R</v>
          </cell>
          <cell r="C796" t="str">
            <v>Women's Bras</v>
          </cell>
          <cell r="D796" t="str">
            <v>Bold Red</v>
          </cell>
          <cell r="E796" t="str">
            <v>SHELL: 77%POLYESTER 23%ELAST...</v>
          </cell>
          <cell r="F796" t="str">
            <v>VN</v>
          </cell>
          <cell r="H796">
            <v>9.18</v>
          </cell>
          <cell r="I796">
            <v>22</v>
          </cell>
          <cell r="J796">
            <v>201.96</v>
          </cell>
          <cell r="K796" t="str">
            <v>6212.10.9020</v>
          </cell>
          <cell r="L796" t="str">
            <v>6212.10.90.00.00</v>
          </cell>
        </row>
        <row r="797">
          <cell r="B797" t="str">
            <v>W9557R</v>
          </cell>
          <cell r="C797" t="str">
            <v>Women's Bras</v>
          </cell>
          <cell r="D797" t="str">
            <v>Burgundy Truffle</v>
          </cell>
          <cell r="E797" t="str">
            <v>SHELL: 77%POLYESTER 23%ELAST...</v>
          </cell>
          <cell r="F797" t="str">
            <v>VN</v>
          </cell>
          <cell r="H797">
            <v>9.18</v>
          </cell>
          <cell r="I797">
            <v>22</v>
          </cell>
          <cell r="J797">
            <v>201.96</v>
          </cell>
          <cell r="K797" t="str">
            <v>6212.10.9020</v>
          </cell>
          <cell r="L797" t="str">
            <v>6212.10.90.00.00</v>
          </cell>
        </row>
        <row r="798">
          <cell r="B798" t="str">
            <v>W9557R</v>
          </cell>
          <cell r="C798" t="str">
            <v>Women's Bras</v>
          </cell>
          <cell r="D798" t="str">
            <v>Sweet Pink</v>
          </cell>
          <cell r="E798" t="str">
            <v>SHELL: 77%POLYESTER 23%ELAST...</v>
          </cell>
          <cell r="F798" t="str">
            <v>VN</v>
          </cell>
          <cell r="H798">
            <v>9.18</v>
          </cell>
          <cell r="I798">
            <v>16</v>
          </cell>
          <cell r="J798">
            <v>146.88</v>
          </cell>
          <cell r="K798" t="str">
            <v>6212.10.9020</v>
          </cell>
          <cell r="L798" t="str">
            <v>6212.10.90.00.00</v>
          </cell>
        </row>
        <row r="799">
          <cell r="B799" t="str">
            <v>W9557R</v>
          </cell>
          <cell r="C799" t="str">
            <v>Women's Bras</v>
          </cell>
          <cell r="D799" t="str">
            <v>Winter Ivy</v>
          </cell>
          <cell r="E799" t="str">
            <v>SHELL: 77%POLYESTER 23%ELAST...</v>
          </cell>
          <cell r="F799" t="str">
            <v>VN</v>
          </cell>
          <cell r="H799">
            <v>9.18</v>
          </cell>
          <cell r="I799">
            <v>22</v>
          </cell>
          <cell r="J799">
            <v>201.96</v>
          </cell>
          <cell r="K799" t="str">
            <v>6212.10.9020</v>
          </cell>
          <cell r="L799" t="str">
            <v>6212.10.90.00.00</v>
          </cell>
        </row>
        <row r="800">
          <cell r="B800" t="str">
            <v>W9724R</v>
          </cell>
          <cell r="C800" t="str">
            <v>Women's Bras</v>
          </cell>
          <cell r="D800" t="str">
            <v>Black</v>
          </cell>
          <cell r="E800" t="str">
            <v>BODY: 77%POLYESTER 23%ELAST...</v>
          </cell>
          <cell r="F800" t="str">
            <v>TH</v>
          </cell>
          <cell r="H800">
            <v>20.399999999999999</v>
          </cell>
          <cell r="I800">
            <v>16</v>
          </cell>
          <cell r="J800">
            <v>326.39999999999998</v>
          </cell>
          <cell r="K800" t="str">
            <v>6212.10.9020</v>
          </cell>
          <cell r="L800" t="str">
            <v>6212.10.90.00.00</v>
          </cell>
        </row>
        <row r="801">
          <cell r="B801" t="str">
            <v>W9811R</v>
          </cell>
          <cell r="C801" t="str">
            <v>Women's Bras</v>
          </cell>
          <cell r="D801" t="str">
            <v>Athletic Heather Grey/White</v>
          </cell>
          <cell r="E801" t="str">
            <v>BODY: 87%POLYESTER 13%ELAST...</v>
          </cell>
          <cell r="F801" t="str">
            <v>TH</v>
          </cell>
          <cell r="H801">
            <v>10.47</v>
          </cell>
          <cell r="I801">
            <v>14</v>
          </cell>
          <cell r="J801">
            <v>146.58000000000001</v>
          </cell>
          <cell r="K801" t="str">
            <v>6212.10.9020</v>
          </cell>
          <cell r="L801" t="str">
            <v>6212.10.90.00.00</v>
          </cell>
        </row>
        <row r="802">
          <cell r="B802" t="str">
            <v>A0712U</v>
          </cell>
          <cell r="C802" t="str">
            <v>Accessory - Hats</v>
          </cell>
          <cell r="D802" t="str">
            <v>Toasted Almond</v>
          </cell>
          <cell r="E802" t="str">
            <v>SHELL: 100%POLYESTER&gt;INTERIO...</v>
          </cell>
          <cell r="F802" t="str">
            <v>CN</v>
          </cell>
          <cell r="H802">
            <v>4.9800000000000004</v>
          </cell>
          <cell r="I802">
            <v>20</v>
          </cell>
          <cell r="J802">
            <v>99.6</v>
          </cell>
          <cell r="K802" t="str">
            <v>6505.00.8090</v>
          </cell>
          <cell r="L802" t="str">
            <v>6505.00.30.00.00</v>
          </cell>
        </row>
        <row r="803">
          <cell r="B803" t="str">
            <v>M6122R</v>
          </cell>
          <cell r="C803" t="str">
            <v>Men's Shorts</v>
          </cell>
          <cell r="D803" t="str">
            <v>Black</v>
          </cell>
          <cell r="E803" t="str">
            <v>BODY: 65%COTTON 35%POLYESTE...</v>
          </cell>
          <cell r="F803" t="str">
            <v>VN</v>
          </cell>
          <cell r="H803">
            <v>12.48</v>
          </cell>
          <cell r="I803">
            <v>30</v>
          </cell>
          <cell r="J803">
            <v>374.4</v>
          </cell>
          <cell r="K803" t="str">
            <v>6103.42.1050</v>
          </cell>
          <cell r="L803" t="str">
            <v>6103.42.00.00.00</v>
          </cell>
        </row>
        <row r="804">
          <cell r="B804" t="str">
            <v>M6122R</v>
          </cell>
          <cell r="C804" t="str">
            <v>Men's Shorts</v>
          </cell>
          <cell r="D804" t="str">
            <v>Navy</v>
          </cell>
          <cell r="E804" t="str">
            <v>BODY: 65%COTTON 35%POLYESTE...</v>
          </cell>
          <cell r="F804" t="str">
            <v>VN</v>
          </cell>
          <cell r="H804">
            <v>12.48</v>
          </cell>
          <cell r="I804">
            <v>26</v>
          </cell>
          <cell r="J804">
            <v>324.48</v>
          </cell>
          <cell r="K804" t="str">
            <v>6103.42.1050</v>
          </cell>
          <cell r="L804" t="str">
            <v>6103.42.00.00.00</v>
          </cell>
        </row>
        <row r="805">
          <cell r="B805" t="str">
            <v>W8278R</v>
          </cell>
          <cell r="C805" t="str">
            <v>Women's Dresses</v>
          </cell>
          <cell r="D805" t="str">
            <v>Sweet Pink/White</v>
          </cell>
          <cell r="E805" t="str">
            <v>LAYER 1: 81%NYLON 19%ELASTAN...</v>
          </cell>
          <cell r="F805" t="str">
            <v>VN</v>
          </cell>
          <cell r="H805">
            <v>23.75</v>
          </cell>
          <cell r="I805">
            <v>14</v>
          </cell>
          <cell r="J805">
            <v>332.5</v>
          </cell>
          <cell r="K805" t="str">
            <v>6104.43.2010</v>
          </cell>
          <cell r="L805" t="str">
            <v>6104.43.00.00.19</v>
          </cell>
        </row>
        <row r="806">
          <cell r="B806" t="str">
            <v>W6428R</v>
          </cell>
          <cell r="C806" t="str">
            <v>Women's Skirts</v>
          </cell>
          <cell r="D806" t="str">
            <v>Sweet Pink</v>
          </cell>
          <cell r="E806" t="str">
            <v>LAYER 1: 87%POLVESTER 13%ELA...</v>
          </cell>
          <cell r="F806" t="str">
            <v>VN</v>
          </cell>
          <cell r="H806">
            <v>10.16</v>
          </cell>
          <cell r="I806">
            <v>14</v>
          </cell>
          <cell r="J806">
            <v>142.24</v>
          </cell>
          <cell r="K806" t="str">
            <v>6104.53.2010</v>
          </cell>
          <cell r="L806" t="str">
            <v>6104.53.00.00.00</v>
          </cell>
        </row>
        <row r="807">
          <cell r="B807" t="str">
            <v>W51119R</v>
          </cell>
          <cell r="C807" t="str">
            <v>Women's 718 Leggings</v>
          </cell>
          <cell r="D807" t="str">
            <v>Oat Milk</v>
          </cell>
          <cell r="E807" t="str">
            <v>87%NYLON 13%ELASTANE</v>
          </cell>
          <cell r="F807" t="str">
            <v>VN</v>
          </cell>
          <cell r="H807">
            <v>16.52</v>
          </cell>
          <cell r="I807">
            <v>21</v>
          </cell>
          <cell r="J807">
            <v>346.92</v>
          </cell>
          <cell r="K807" t="str">
            <v>6104.63.2006</v>
          </cell>
          <cell r="L807" t="str">
            <v>6115.22.00.00.00</v>
          </cell>
        </row>
        <row r="808">
          <cell r="B808" t="str">
            <v>W51428R</v>
          </cell>
          <cell r="C808" t="str">
            <v>Women's Leggings</v>
          </cell>
          <cell r="D808" t="str">
            <v>Black/White</v>
          </cell>
          <cell r="E808" t="str">
            <v>82%POLYESTER 18%ELASTANE&gt;E...</v>
          </cell>
          <cell r="F808" t="str">
            <v>KH</v>
          </cell>
          <cell r="H808">
            <v>12.08</v>
          </cell>
          <cell r="I808">
            <v>70</v>
          </cell>
          <cell r="J808">
            <v>845.6</v>
          </cell>
          <cell r="K808" t="str">
            <v>6104.63.2006</v>
          </cell>
          <cell r="L808" t="str">
            <v>6115.22.00.00.00</v>
          </cell>
        </row>
        <row r="809">
          <cell r="B809" t="str">
            <v>W51428R</v>
          </cell>
          <cell r="C809" t="str">
            <v>Women's Leggings</v>
          </cell>
          <cell r="D809" t="str">
            <v>Espresso</v>
          </cell>
          <cell r="E809" t="str">
            <v>77%POLYESTER   23%ELASTANE&gt;E...</v>
          </cell>
          <cell r="F809" t="str">
            <v>KH</v>
          </cell>
          <cell r="H809">
            <v>12.08</v>
          </cell>
          <cell r="I809">
            <v>30</v>
          </cell>
          <cell r="J809">
            <v>362.4</v>
          </cell>
          <cell r="K809" t="str">
            <v>6104.63.2006</v>
          </cell>
          <cell r="L809" t="str">
            <v>6115.22.00.00.00</v>
          </cell>
        </row>
        <row r="810">
          <cell r="B810" t="str">
            <v>W54141R</v>
          </cell>
          <cell r="C810" t="str">
            <v>Women's 718 Leggings</v>
          </cell>
          <cell r="D810" t="str">
            <v>Black</v>
          </cell>
          <cell r="E810" t="str">
            <v>BODY: 67%MODAL 29%NYLON 4%...</v>
          </cell>
          <cell r="F810" t="str">
            <v>CN</v>
          </cell>
          <cell r="H810">
            <v>10.45</v>
          </cell>
          <cell r="I810">
            <v>22</v>
          </cell>
          <cell r="J810">
            <v>229.9</v>
          </cell>
          <cell r="K810" t="str">
            <v>6104.63.2006</v>
          </cell>
          <cell r="L810" t="str">
            <v>6115.22.00.00.00</v>
          </cell>
        </row>
        <row r="811">
          <cell r="B811" t="str">
            <v>W54143R</v>
          </cell>
          <cell r="C811" t="str">
            <v>Women's 718 Leggings</v>
          </cell>
          <cell r="D811" t="str">
            <v>Black</v>
          </cell>
          <cell r="E811" t="str">
            <v>BODY: 77%POLVESTER 23%ELAST...</v>
          </cell>
          <cell r="F811" t="str">
            <v>VN</v>
          </cell>
          <cell r="H811">
            <v>14.1</v>
          </cell>
          <cell r="I811">
            <v>22</v>
          </cell>
          <cell r="J811">
            <v>310.2</v>
          </cell>
          <cell r="K811" t="str">
            <v>6104.63.2006</v>
          </cell>
          <cell r="L811" t="str">
            <v>6115.22.00.00.00</v>
          </cell>
        </row>
        <row r="812">
          <cell r="B812" t="str">
            <v>W5604R</v>
          </cell>
          <cell r="C812" t="str">
            <v>Women's 718 Leggings</v>
          </cell>
          <cell r="D812" t="str">
            <v>Sweet Pink</v>
          </cell>
          <cell r="E812" t="str">
            <v>81%NYLON 19%ELASTANE</v>
          </cell>
          <cell r="F812" t="str">
            <v>VN</v>
          </cell>
          <cell r="H812">
            <v>11.28</v>
          </cell>
          <cell r="I812">
            <v>15</v>
          </cell>
          <cell r="J812">
            <v>169.2</v>
          </cell>
          <cell r="K812" t="str">
            <v>6104.63.2006</v>
          </cell>
          <cell r="L812" t="str">
            <v>6115.22.00.00.00</v>
          </cell>
        </row>
        <row r="813">
          <cell r="B813" t="str">
            <v>W54137R</v>
          </cell>
          <cell r="C813" t="str">
            <v>Women's Other Bottoms</v>
          </cell>
          <cell r="D813" t="str">
            <v>Oat Milk</v>
          </cell>
          <cell r="E813" t="str">
            <v>100%POLYESTER&gt;EXCLUS IVE OF TRIMMING</v>
          </cell>
          <cell r="F813" t="str">
            <v>KH</v>
          </cell>
          <cell r="H813">
            <v>13.8</v>
          </cell>
          <cell r="I813">
            <v>21</v>
          </cell>
          <cell r="J813">
            <v>289.8</v>
          </cell>
          <cell r="K813" t="str">
            <v>6104.63.2011</v>
          </cell>
          <cell r="L813" t="str">
            <v>6104.63.00.00.00</v>
          </cell>
        </row>
        <row r="814">
          <cell r="B814" t="str">
            <v>W3892R</v>
          </cell>
          <cell r="C814" t="str">
            <v>Women's Cover Ups</v>
          </cell>
          <cell r="D814" t="str">
            <v>Oat Milk</v>
          </cell>
          <cell r="E814" t="str">
            <v>100%POLYESTER&gt;EXCLUS IVE OF TRIMMING</v>
          </cell>
          <cell r="F814" t="str">
            <v>KH</v>
          </cell>
          <cell r="H814">
            <v>23.17</v>
          </cell>
          <cell r="I814">
            <v>19</v>
          </cell>
          <cell r="J814">
            <v>440.23</v>
          </cell>
          <cell r="K814" t="str">
            <v>6106.20.2010</v>
          </cell>
          <cell r="L814" t="str">
            <v>6106.20.00.00.00</v>
          </cell>
        </row>
        <row r="815">
          <cell r="B815" t="str">
            <v>M1205R</v>
          </cell>
          <cell r="C815" t="str">
            <v>Men's Short Sleeve Tops</v>
          </cell>
          <cell r="D815" t="str">
            <v>Steel Grey</v>
          </cell>
          <cell r="E815" t="str">
            <v>94%POLYESTER 6%ELASTANE</v>
          </cell>
          <cell r="F815" t="str">
            <v>ID</v>
          </cell>
          <cell r="H815">
            <v>8.4600000000000009</v>
          </cell>
          <cell r="I815">
            <v>14</v>
          </cell>
          <cell r="J815">
            <v>118.44</v>
          </cell>
          <cell r="K815" t="str">
            <v>6109.90.1007</v>
          </cell>
          <cell r="L815" t="str">
            <v>6109.90.20.00.12</v>
          </cell>
        </row>
        <row r="816">
          <cell r="B816" t="str">
            <v>W2782R</v>
          </cell>
          <cell r="C816" t="str">
            <v>Women's Tanks</v>
          </cell>
          <cell r="D816" t="str">
            <v>Black</v>
          </cell>
          <cell r="E816" t="str">
            <v>67% MODAL 25% NYLON 8% ELASTANE</v>
          </cell>
          <cell r="F816" t="str">
            <v>CN</v>
          </cell>
          <cell r="H816">
            <v>9.32</v>
          </cell>
          <cell r="I816">
            <v>15</v>
          </cell>
          <cell r="J816">
            <v>139.80000000000001</v>
          </cell>
          <cell r="K816" t="str">
            <v>6109.90.1065</v>
          </cell>
          <cell r="L816" t="str">
            <v>6109.90.20.00.12</v>
          </cell>
        </row>
        <row r="817">
          <cell r="B817" t="str">
            <v>U3031RG</v>
          </cell>
          <cell r="C817" t="str">
            <v>Unisex Cover Ups</v>
          </cell>
          <cell r="D817" t="str">
            <v>Anthracite</v>
          </cell>
          <cell r="E817" t="str">
            <v>BODY: 65%COTTON 35%POLYESTE...</v>
          </cell>
          <cell r="F817" t="str">
            <v>VN</v>
          </cell>
          <cell r="H817">
            <v>9.9700000000000006</v>
          </cell>
          <cell r="I817">
            <v>40</v>
          </cell>
          <cell r="J817">
            <v>398.8</v>
          </cell>
          <cell r="K817" t="str">
            <v>6110.20.2020</v>
          </cell>
          <cell r="L817" t="str">
            <v>6110.20.99.00.00</v>
          </cell>
        </row>
        <row r="818">
          <cell r="B818" t="str">
            <v>U3032RG</v>
          </cell>
          <cell r="C818" t="str">
            <v>Unisex Cover Ups</v>
          </cell>
          <cell r="D818" t="str">
            <v>Sweet Pink</v>
          </cell>
          <cell r="E818" t="str">
            <v>BODY: 65%COTTON 35%POLYESTE...</v>
          </cell>
          <cell r="F818" t="str">
            <v>VN</v>
          </cell>
          <cell r="H818">
            <v>17.28</v>
          </cell>
          <cell r="I818">
            <v>21</v>
          </cell>
          <cell r="J818">
            <v>362.88</v>
          </cell>
          <cell r="K818" t="str">
            <v>6110.20.2020</v>
          </cell>
          <cell r="L818" t="str">
            <v>6110.20.99.00.00</v>
          </cell>
        </row>
        <row r="819">
          <cell r="B819" t="str">
            <v>M3199R</v>
          </cell>
          <cell r="C819" t="str">
            <v>Men's Long Sleeve Tops</v>
          </cell>
          <cell r="D819" t="str">
            <v>Steel Grey</v>
          </cell>
          <cell r="E819" t="str">
            <v>94%POLYESTER 6%ELASTANE</v>
          </cell>
          <cell r="F819" t="str">
            <v>ID</v>
          </cell>
          <cell r="H819">
            <v>12.69</v>
          </cell>
          <cell r="I819">
            <v>9</v>
          </cell>
          <cell r="J819">
            <v>114.21</v>
          </cell>
          <cell r="K819" t="str">
            <v>6110.30.3053</v>
          </cell>
          <cell r="L819" t="str">
            <v>6110.30.91.00.00</v>
          </cell>
        </row>
        <row r="820">
          <cell r="B820" t="str">
            <v>M3245R</v>
          </cell>
          <cell r="C820" t="str">
            <v>Men's Cover Ups</v>
          </cell>
          <cell r="D820" t="str">
            <v>Steel Grey</v>
          </cell>
          <cell r="E820" t="str">
            <v>BODY: 47%MODAL 47%COTTON 6...</v>
          </cell>
          <cell r="F820" t="str">
            <v>ID</v>
          </cell>
          <cell r="H820">
            <v>19.11</v>
          </cell>
          <cell r="I820">
            <v>11</v>
          </cell>
          <cell r="J820">
            <v>210.21</v>
          </cell>
          <cell r="K820" t="str">
            <v>6110.30.3053</v>
          </cell>
          <cell r="L820" t="str">
            <v>6110.30.91.00.00</v>
          </cell>
        </row>
        <row r="821">
          <cell r="B821" t="str">
            <v>M3265R</v>
          </cell>
          <cell r="C821" t="str">
            <v>Men's Long Sleeve Tops</v>
          </cell>
          <cell r="D821" t="str">
            <v>Gravel</v>
          </cell>
          <cell r="E821" t="str">
            <v>49%VISCOSE 29%POLYESTER 18%...</v>
          </cell>
          <cell r="F821" t="str">
            <v>VN</v>
          </cell>
          <cell r="H821">
            <v>15.43</v>
          </cell>
          <cell r="I821">
            <v>20</v>
          </cell>
          <cell r="J821">
            <v>308.60000000000002</v>
          </cell>
          <cell r="K821" t="str">
            <v>6110.30.3053</v>
          </cell>
          <cell r="L821" t="str">
            <v>6110.30.91.00.00</v>
          </cell>
        </row>
        <row r="822">
          <cell r="B822" t="str">
            <v>W3869R</v>
          </cell>
          <cell r="C822" t="str">
            <v>Women's Long Sleeve Tops</v>
          </cell>
          <cell r="D822" t="str">
            <v>Bold Red</v>
          </cell>
          <cell r="E822" t="str">
            <v>93%MODAL 7%ELASTANE</v>
          </cell>
          <cell r="F822" t="str">
            <v>VN</v>
          </cell>
          <cell r="H822">
            <v>12.15</v>
          </cell>
          <cell r="I822">
            <v>14</v>
          </cell>
          <cell r="J822">
            <v>170.1</v>
          </cell>
          <cell r="K822" t="str">
            <v>6110.30.3059</v>
          </cell>
          <cell r="L822" t="str">
            <v>6110.30.99.00.00</v>
          </cell>
        </row>
        <row r="823">
          <cell r="B823" t="str">
            <v>W1464R</v>
          </cell>
          <cell r="C823" t="str">
            <v>Women's Short Sleeve Tops</v>
          </cell>
          <cell r="D823" t="str">
            <v>Black</v>
          </cell>
          <cell r="E823" t="str">
            <v>93%MODAL 7%ELASTANE</v>
          </cell>
          <cell r="F823" t="str">
            <v>VN</v>
          </cell>
          <cell r="H823">
            <v>9.9700000000000006</v>
          </cell>
          <cell r="I823">
            <v>14</v>
          </cell>
          <cell r="J823">
            <v>139.58000000000001</v>
          </cell>
          <cell r="K823" t="str">
            <v>6114.30.1020</v>
          </cell>
          <cell r="L823" t="str">
            <v>6114.30.00.00.11</v>
          </cell>
        </row>
        <row r="824">
          <cell r="B824" t="str">
            <v>W1464R</v>
          </cell>
          <cell r="C824" t="str">
            <v>Women's Short Sleeve Tops</v>
          </cell>
          <cell r="D824" t="str">
            <v>Ivory</v>
          </cell>
          <cell r="E824" t="str">
            <v>93%MODAL 7%ELASTANE</v>
          </cell>
          <cell r="F824" t="str">
            <v>VN</v>
          </cell>
          <cell r="H824">
            <v>9.9700000000000006</v>
          </cell>
          <cell r="I824">
            <v>14</v>
          </cell>
          <cell r="J824">
            <v>139.58000000000001</v>
          </cell>
          <cell r="K824" t="str">
            <v>6114.30.1020</v>
          </cell>
          <cell r="L824" t="str">
            <v>6114.30.00.00.11</v>
          </cell>
        </row>
        <row r="825">
          <cell r="B825" t="str">
            <v>W1467R</v>
          </cell>
          <cell r="C825" t="str">
            <v>Women's Short Sleeve Tops</v>
          </cell>
          <cell r="D825" t="str">
            <v>Black</v>
          </cell>
          <cell r="E825" t="str">
            <v>67% MODAL 25% NYLON 8% ELASTANE</v>
          </cell>
          <cell r="F825" t="str">
            <v>CN</v>
          </cell>
          <cell r="H825">
            <v>9.8000000000000007</v>
          </cell>
          <cell r="I825">
            <v>19</v>
          </cell>
          <cell r="J825">
            <v>186.2</v>
          </cell>
          <cell r="K825" t="str">
            <v>6114.30.1020</v>
          </cell>
          <cell r="L825" t="str">
            <v>6114.30.00.00.11</v>
          </cell>
        </row>
        <row r="826">
          <cell r="B826" t="str">
            <v>W1467R</v>
          </cell>
          <cell r="C826" t="str">
            <v>Women's Short Sleeve Tops</v>
          </cell>
          <cell r="D826" t="str">
            <v>Celestial Blue</v>
          </cell>
          <cell r="E826" t="str">
            <v>67% MODAL 25% NYLON 8% ELASTANE</v>
          </cell>
          <cell r="F826" t="str">
            <v>CN</v>
          </cell>
          <cell r="H826">
            <v>9.8000000000000007</v>
          </cell>
          <cell r="I826">
            <v>14</v>
          </cell>
          <cell r="J826">
            <v>137.19999999999999</v>
          </cell>
          <cell r="K826" t="str">
            <v>6114.30.1020</v>
          </cell>
          <cell r="L826" t="str">
            <v>6114.30.00.00.11</v>
          </cell>
        </row>
        <row r="827">
          <cell r="B827" t="str">
            <v>W9587R</v>
          </cell>
          <cell r="C827" t="str">
            <v>Women's Tanks</v>
          </cell>
          <cell r="D827" t="str">
            <v>Oat Milk</v>
          </cell>
          <cell r="E827" t="str">
            <v>SHELL: 87%NYLON 13%SPAN&gt;LAY ...</v>
          </cell>
          <cell r="F827" t="str">
            <v>CN</v>
          </cell>
          <cell r="H827">
            <v>11.89</v>
          </cell>
          <cell r="I827">
            <v>19</v>
          </cell>
          <cell r="J827">
            <v>225.91</v>
          </cell>
          <cell r="K827" t="str">
            <v>6114.30.1020</v>
          </cell>
          <cell r="L827" t="str">
            <v>6114.30.00.00.11</v>
          </cell>
        </row>
        <row r="828">
          <cell r="B828" t="str">
            <v>A0649U</v>
          </cell>
          <cell r="C828" t="str">
            <v>Accessory·Socks</v>
          </cell>
          <cell r="D828" t="str">
            <v>Bold Red</v>
          </cell>
          <cell r="E828" t="str">
            <v>78%COTTON 18%POLVESTER 2%N...</v>
          </cell>
          <cell r="F828" t="str">
            <v>TW</v>
          </cell>
          <cell r="H828">
            <v>2.89</v>
          </cell>
          <cell r="I828">
            <v>20</v>
          </cell>
          <cell r="J828">
            <v>57.8</v>
          </cell>
          <cell r="K828" t="str">
            <v>6115.95.9000</v>
          </cell>
          <cell r="L828" t="str">
            <v>6115.95.00.00.00</v>
          </cell>
        </row>
        <row r="829">
          <cell r="B829" t="str">
            <v>A0742U</v>
          </cell>
          <cell r="C829" t="str">
            <v>Accessory • Hair Management</v>
          </cell>
          <cell r="D829" t="str">
            <v>Oat Milk</v>
          </cell>
          <cell r="E829" t="str">
            <v>100%POLYESTER&gt;EXCLUSI VE OF TRIMMING</v>
          </cell>
          <cell r="F829" t="str">
            <v>VN</v>
          </cell>
          <cell r="H829">
            <v>4.45</v>
          </cell>
          <cell r="I829">
            <v>16</v>
          </cell>
          <cell r="J829">
            <v>71.2</v>
          </cell>
          <cell r="K829" t="str">
            <v>6117.80.8500</v>
          </cell>
          <cell r="L829" t="str">
            <v>6117.80.80.00.00</v>
          </cell>
        </row>
        <row r="830">
          <cell r="B830" t="str">
            <v>M5190R</v>
          </cell>
          <cell r="C830" t="str">
            <v>Men's Bottoms/Pants</v>
          </cell>
          <cell r="D830" t="str">
            <v>Steel Grey</v>
          </cell>
          <cell r="E830" t="str">
            <v>BODY: 89%NYLON 11%ELASTANE&gt; ...</v>
          </cell>
          <cell r="F830" t="str">
            <v>KH</v>
          </cell>
          <cell r="H830">
            <v>19.059999999999999</v>
          </cell>
          <cell r="I830">
            <v>14</v>
          </cell>
          <cell r="J830">
            <v>266.83999999999997</v>
          </cell>
          <cell r="K830" t="str">
            <v>6203.43.7590</v>
          </cell>
          <cell r="L830" t="str">
            <v>6203.43.19.00.00</v>
          </cell>
        </row>
        <row r="831">
          <cell r="B831" t="str">
            <v>W6289R</v>
          </cell>
          <cell r="C831" t="str">
            <v>Women's Skirts</v>
          </cell>
          <cell r="D831" t="str">
            <v>White</v>
          </cell>
          <cell r="E831" t="str">
            <v>92%POLYESTER 8%ELASTANE&gt;EX ...</v>
          </cell>
          <cell r="F831" t="str">
            <v>VN</v>
          </cell>
          <cell r="H831">
            <v>15</v>
          </cell>
          <cell r="I831">
            <v>51</v>
          </cell>
          <cell r="J831">
            <v>765</v>
          </cell>
          <cell r="K831" t="str">
            <v>6204.53.3010</v>
          </cell>
          <cell r="L831" t="str">
            <v>6204.53.00.00.00</v>
          </cell>
        </row>
        <row r="832">
          <cell r="B832" t="str">
            <v>W54154R</v>
          </cell>
          <cell r="C832" t="str">
            <v>Women's Trousers</v>
          </cell>
          <cell r="D832" t="str">
            <v>Oat Milk</v>
          </cell>
          <cell r="E832" t="str">
            <v>98%COTTON 2%ELASTANE</v>
          </cell>
          <cell r="F832" t="str">
            <v>VN</v>
          </cell>
          <cell r="H832">
            <v>17.72</v>
          </cell>
          <cell r="I832">
            <v>14</v>
          </cell>
          <cell r="J832">
            <v>248.08</v>
          </cell>
          <cell r="K832" t="str">
            <v>6204.62.8018</v>
          </cell>
          <cell r="L832" t="str">
            <v>6204.62.39.00.00</v>
          </cell>
        </row>
        <row r="833">
          <cell r="B833" t="str">
            <v>W9772R</v>
          </cell>
          <cell r="C833" t="str">
            <v>Women's Bras</v>
          </cell>
          <cell r="D833" t="str">
            <v>Bold Red</v>
          </cell>
          <cell r="E833" t="str">
            <v>BODY: 87%POLYESTER 13%ELAST...</v>
          </cell>
          <cell r="F833" t="str">
            <v>VN</v>
          </cell>
          <cell r="H833">
            <v>8.75</v>
          </cell>
          <cell r="I833">
            <v>26</v>
          </cell>
          <cell r="J833">
            <v>227.5</v>
          </cell>
          <cell r="K833" t="str">
            <v>6212.10.9020</v>
          </cell>
          <cell r="L833" t="str">
            <v>6212.10.90.00.00</v>
          </cell>
        </row>
        <row r="834">
          <cell r="B834" t="str">
            <v>W9780R</v>
          </cell>
          <cell r="C834" t="str">
            <v>Women's Bras</v>
          </cell>
          <cell r="D834" t="str">
            <v>Black/White</v>
          </cell>
          <cell r="E834" t="str">
            <v>BODY: 84%POLYESTER 16%ELAST...</v>
          </cell>
          <cell r="F834" t="str">
            <v>KH</v>
          </cell>
          <cell r="H834">
            <v>8.43</v>
          </cell>
          <cell r="I834">
            <v>41</v>
          </cell>
          <cell r="J834">
            <v>345.63</v>
          </cell>
          <cell r="K834" t="str">
            <v>6212.10.9020</v>
          </cell>
          <cell r="L834" t="str">
            <v>6212.10.90.00.00</v>
          </cell>
        </row>
        <row r="835">
          <cell r="B835" t="str">
            <v>W9780R</v>
          </cell>
          <cell r="C835" t="str">
            <v>Women's Bras</v>
          </cell>
          <cell r="D835" t="str">
            <v>Espresso</v>
          </cell>
          <cell r="E835" t="str">
            <v>BODY: 84%POLYESTER 16%ELAST...</v>
          </cell>
          <cell r="F835" t="str">
            <v>KH</v>
          </cell>
          <cell r="H835">
            <v>8.43</v>
          </cell>
          <cell r="I835">
            <v>31</v>
          </cell>
          <cell r="J835">
            <v>261.33</v>
          </cell>
          <cell r="K835" t="str">
            <v>6212.10.9020</v>
          </cell>
          <cell r="L835" t="str">
            <v>6212.10.90.00.00</v>
          </cell>
        </row>
        <row r="836">
          <cell r="B836" t="str">
            <v>W9780R</v>
          </cell>
          <cell r="C836" t="str">
            <v>Women's Bras</v>
          </cell>
          <cell r="D836" t="str">
            <v>Navy/Navy</v>
          </cell>
          <cell r="E836" t="str">
            <v>BODY: 84%POLYESTER 16%ELAST...</v>
          </cell>
          <cell r="F836" t="str">
            <v>KH</v>
          </cell>
          <cell r="H836">
            <v>8.43</v>
          </cell>
          <cell r="I836">
            <v>18</v>
          </cell>
          <cell r="J836">
            <v>151.74</v>
          </cell>
          <cell r="K836" t="str">
            <v>6212.10.9020</v>
          </cell>
          <cell r="L836" t="str">
            <v>6212.10.90.00.00</v>
          </cell>
        </row>
        <row r="837">
          <cell r="B837" t="str">
            <v>W9780R</v>
          </cell>
          <cell r="C837" t="str">
            <v>Women's Bras</v>
          </cell>
          <cell r="D837" t="str">
            <v>Burgundy Truffle/Black</v>
          </cell>
          <cell r="E837" t="str">
            <v>BODY: 84%POLYESTER 16%ELAST...</v>
          </cell>
          <cell r="F837" t="str">
            <v>KH</v>
          </cell>
          <cell r="H837">
            <v>8.7200000000000006</v>
          </cell>
          <cell r="I837">
            <v>14</v>
          </cell>
          <cell r="J837">
            <v>122.08</v>
          </cell>
          <cell r="K837" t="str">
            <v>6212.10.9020</v>
          </cell>
          <cell r="L837" t="str">
            <v>6212.10.90.00.00</v>
          </cell>
        </row>
        <row r="838">
          <cell r="B838" t="str">
            <v>W9805R</v>
          </cell>
          <cell r="C838" t="str">
            <v>Women's Bras</v>
          </cell>
          <cell r="D838" t="str">
            <v>Black</v>
          </cell>
          <cell r="E838" t="str">
            <v>67% MODAL 25% NYLON 8% ELASTANE</v>
          </cell>
          <cell r="F838" t="str">
            <v>CN</v>
          </cell>
          <cell r="H838">
            <v>6.8</v>
          </cell>
          <cell r="I838">
            <v>15</v>
          </cell>
          <cell r="J838">
            <v>102</v>
          </cell>
          <cell r="K838" t="str">
            <v>6212.10.9020</v>
          </cell>
          <cell r="L838" t="str">
            <v>6212.10.90.00.00</v>
          </cell>
        </row>
        <row r="839">
          <cell r="B839" t="str">
            <v>A0225U</v>
          </cell>
          <cell r="C839" t="str">
            <v>Accessory • Hair Management</v>
          </cell>
          <cell r="D839" t="str">
            <v>Sweet Pink</v>
          </cell>
          <cell r="E839" t="str">
            <v>92%POLYESTER 8%ELASTANE</v>
          </cell>
          <cell r="F839" t="str">
            <v>VN</v>
          </cell>
          <cell r="H839">
            <v>4.07</v>
          </cell>
          <cell r="I839">
            <v>12</v>
          </cell>
          <cell r="J839">
            <v>48.84</v>
          </cell>
          <cell r="K839" t="str">
            <v>6217.10.8500</v>
          </cell>
          <cell r="L839" t="str">
            <v>6217.10.00.00.19</v>
          </cell>
        </row>
        <row r="840">
          <cell r="B840" t="str">
            <v>A0467U</v>
          </cell>
          <cell r="C840" t="str">
            <v>Accessory • Hats</v>
          </cell>
          <cell r="D840" t="str">
            <v>Burgundy Truffle</v>
          </cell>
          <cell r="E840" t="str">
            <v>SHELL: 100%COTTON&gt;LINING &amp; M...</v>
          </cell>
          <cell r="F840" t="str">
            <v>VN</v>
          </cell>
          <cell r="H840">
            <v>4.13</v>
          </cell>
          <cell r="I840">
            <v>24</v>
          </cell>
          <cell r="J840">
            <v>99.12</v>
          </cell>
          <cell r="K840" t="str">
            <v>6505.00.2590</v>
          </cell>
          <cell r="L840" t="str">
            <v>6505.00.30.00.00</v>
          </cell>
        </row>
        <row r="841">
          <cell r="B841" t="str">
            <v>A0648U</v>
          </cell>
          <cell r="C841" t="str">
            <v>Accessory • Hats</v>
          </cell>
          <cell r="D841" t="str">
            <v>Sweet Pink</v>
          </cell>
          <cell r="E841" t="str">
            <v>EXTERIOR: 100%COTTON&gt;INTERIO...</v>
          </cell>
          <cell r="F841" t="str">
            <v>VN</v>
          </cell>
          <cell r="H841">
            <v>4.16</v>
          </cell>
          <cell r="I841">
            <v>20</v>
          </cell>
          <cell r="J841">
            <v>83.2</v>
          </cell>
          <cell r="K841" t="str">
            <v>6505.00.2590</v>
          </cell>
          <cell r="L841" t="str">
            <v>6505.00.30.00.00</v>
          </cell>
        </row>
        <row r="842">
          <cell r="B842" t="str">
            <v>A0543U</v>
          </cell>
          <cell r="C842" t="str">
            <v>Accessory • Hats</v>
          </cell>
          <cell r="D842" t="str">
            <v>Winter Ivy</v>
          </cell>
          <cell r="E842" t="str">
            <v>86%POLYESTER 14%ELASTANE&gt;E ...</v>
          </cell>
          <cell r="F842" t="str">
            <v>CN</v>
          </cell>
          <cell r="H842">
            <v>4.8</v>
          </cell>
          <cell r="I842">
            <v>20</v>
          </cell>
          <cell r="J842">
            <v>96</v>
          </cell>
          <cell r="K842" t="str">
            <v>6505.00.8090</v>
          </cell>
          <cell r="L842" t="str">
            <v>6505.00.30.00.00</v>
          </cell>
        </row>
        <row r="843">
          <cell r="B843" t="str">
            <v>A0545U</v>
          </cell>
          <cell r="C843" t="str">
            <v>Accessorv • Hats</v>
          </cell>
          <cell r="D843" t="str">
            <v>Steel Grev</v>
          </cell>
          <cell r="E843" t="str">
            <v>EXTERIOR: 86%POLYESTER 14%EL...</v>
          </cell>
          <cell r="F843" t="str">
            <v>CN</v>
          </cell>
          <cell r="H843">
            <v>6.25</v>
          </cell>
          <cell r="I843">
            <v>22</v>
          </cell>
          <cell r="J843">
            <v>137.5</v>
          </cell>
          <cell r="K843" t="str">
            <v>6505.00.8090</v>
          </cell>
          <cell r="L843" t="str">
            <v>6505.00.30.00.00</v>
          </cell>
        </row>
        <row r="844">
          <cell r="B844" t="str">
            <v>W51286R</v>
          </cell>
          <cell r="C844" t="str">
            <v>Women's Other Bottoms</v>
          </cell>
          <cell r="D844" t="str">
            <v>Mushroom Heather</v>
          </cell>
          <cell r="E844" t="str">
            <v>100%CASHMERE&gt;EXCLUSIVE OF TRIMMING</v>
          </cell>
          <cell r="F844" t="str">
            <v>CN</v>
          </cell>
          <cell r="H844">
            <v>77.94</v>
          </cell>
          <cell r="I844">
            <v>33</v>
          </cell>
          <cell r="J844">
            <v>2572.02</v>
          </cell>
          <cell r="K844" t="str">
            <v>6104.61.0010</v>
          </cell>
          <cell r="L844" t="str">
            <v>6104.61.00.00.00</v>
          </cell>
        </row>
        <row r="845">
          <cell r="B845" t="str">
            <v>W556 1R</v>
          </cell>
          <cell r="C845" t="str">
            <v>Women's Leggings</v>
          </cell>
          <cell r="D845" t="str">
            <v>Espresso</v>
          </cell>
          <cell r="E845" t="str">
            <v>82%POLYESTER  18%ELASTANE</v>
          </cell>
          <cell r="F845" t="str">
            <v>VN</v>
          </cell>
          <cell r="H845">
            <v>9.5500000000000007</v>
          </cell>
          <cell r="I845">
            <v>227</v>
          </cell>
          <cell r="J845">
            <v>2167.85</v>
          </cell>
          <cell r="K845" t="str">
            <v>6104.63.2006</v>
          </cell>
          <cell r="L845" t="str">
            <v>6115.22.00.00.00</v>
          </cell>
        </row>
        <row r="846">
          <cell r="B846" t="str">
            <v>W59 12R</v>
          </cell>
          <cell r="C846" t="str">
            <v>Women's Other Bottoms</v>
          </cell>
          <cell r="D846" t="str">
            <v>Black</v>
          </cell>
          <cell r="E846" t="str">
            <v>63%POLYESTER 34%VISCOSE 3%ELASTANE</v>
          </cell>
          <cell r="F846" t="str">
            <v>VN</v>
          </cell>
          <cell r="H846">
            <v>12.46</v>
          </cell>
          <cell r="I846">
            <v>140</v>
          </cell>
          <cell r="J846">
            <v>1744.4</v>
          </cell>
          <cell r="K846" t="str">
            <v>6104.63.2006</v>
          </cell>
          <cell r="L846" t="str">
            <v>6104.63.00.00.00</v>
          </cell>
        </row>
        <row r="847">
          <cell r="B847" t="str">
            <v>W59 12R</v>
          </cell>
          <cell r="C847" t="str">
            <v>Women's Other Bottoms</v>
          </cell>
          <cell r="D847" t="str">
            <v>Athletic Heather Grey</v>
          </cell>
          <cell r="E847" t="str">
            <v>63%POLYESTER 34%VISCOSE 3%ELASTANE</v>
          </cell>
          <cell r="F847" t="str">
            <v>VN</v>
          </cell>
          <cell r="H847">
            <v>12.32</v>
          </cell>
          <cell r="I847">
            <v>103</v>
          </cell>
          <cell r="J847">
            <v>1268.96</v>
          </cell>
          <cell r="K847" t="str">
            <v>6104.63.2006</v>
          </cell>
          <cell r="L847" t="str">
            <v>6104.63.00.00.00</v>
          </cell>
        </row>
        <row r="848">
          <cell r="B848" t="str">
            <v>W6 136R</v>
          </cell>
          <cell r="C848" t="str">
            <v>Women's Shorts</v>
          </cell>
          <cell r="D848" t="str">
            <v>Black</v>
          </cell>
          <cell r="E848" t="str">
            <v>82%POLYESTER  18%ELASTANE</v>
          </cell>
          <cell r="F848" t="str">
            <v>VN</v>
          </cell>
          <cell r="H848">
            <v>6.39</v>
          </cell>
          <cell r="I848">
            <v>110</v>
          </cell>
          <cell r="J848">
            <v>702.9</v>
          </cell>
          <cell r="K848" t="str">
            <v>6104.63.2030</v>
          </cell>
          <cell r="L848" t="str">
            <v>6104.63.00.00.00</v>
          </cell>
        </row>
        <row r="849">
          <cell r="B849" t="str">
            <v>W6295R</v>
          </cell>
          <cell r="C849" t="str">
            <v>Women's Shorts</v>
          </cell>
          <cell r="D849" t="str">
            <v>Espresso</v>
          </cell>
          <cell r="E849" t="str">
            <v>82%POLYESTER  18%ELASTANE</v>
          </cell>
          <cell r="F849" t="str">
            <v>VN</v>
          </cell>
          <cell r="H849">
            <v>7.27</v>
          </cell>
          <cell r="I849">
            <v>71</v>
          </cell>
          <cell r="J849">
            <v>516.16999999999996</v>
          </cell>
          <cell r="K849" t="str">
            <v>6104.63.2030</v>
          </cell>
          <cell r="L849" t="str">
            <v>6104.63.00.00.00</v>
          </cell>
        </row>
        <row r="850">
          <cell r="B850" t="str">
            <v>A0457U</v>
          </cell>
          <cell r="C850" t="str">
            <v>Accessory • Equipment</v>
          </cell>
          <cell r="D850" t="str">
            <v>Black</v>
          </cell>
          <cell r="E850" t="str">
            <v>100%COTTON</v>
          </cell>
          <cell r="F850" t="str">
            <v>CN</v>
          </cell>
          <cell r="H850">
            <v>4.2</v>
          </cell>
          <cell r="I850">
            <v>100</v>
          </cell>
          <cell r="J850">
            <v>420</v>
          </cell>
          <cell r="K850" t="str">
            <v>6302.60.0020</v>
          </cell>
          <cell r="L850" t="str">
            <v>6302.60.00.00.11</v>
          </cell>
        </row>
        <row r="851">
          <cell r="B851" t="str">
            <v>A0685U</v>
          </cell>
          <cell r="C851" t="str">
            <v>Footwear   Recovery</v>
          </cell>
          <cell r="D851" t="str">
            <v>Natural White/Gum</v>
          </cell>
          <cell r="E851" t="str">
            <v>UPPER: SYNTHETIC TEXTILE&gt;LININ...</v>
          </cell>
          <cell r="F851" t="str">
            <v>CN</v>
          </cell>
          <cell r="H851">
            <v>25.6</v>
          </cell>
          <cell r="I851">
            <v>246</v>
          </cell>
          <cell r="J851">
            <v>6297.6</v>
          </cell>
          <cell r="K851" t="str">
            <v>6402.99.9005</v>
          </cell>
          <cell r="L851" t="str">
            <v>6402.99.93.00.00</v>
          </cell>
        </row>
        <row r="852">
          <cell r="B852" t="str">
            <v>AMDNBN1004</v>
          </cell>
          <cell r="C852" t="str">
            <v>BANDANA JACQUARD MA TRUCKER JACKET</v>
          </cell>
          <cell r="E852" t="str">
            <v>100% COTTON</v>
          </cell>
          <cell r="F852" t="str">
            <v>US</v>
          </cell>
          <cell r="H852">
            <v>199.815</v>
          </cell>
          <cell r="I852">
            <v>7</v>
          </cell>
          <cell r="J852">
            <v>1398.7049999999999</v>
          </cell>
          <cell r="K852" t="str">
            <v>6101.20.0010</v>
          </cell>
          <cell r="L852" t="str">
            <v>6101.20.10.00.00</v>
          </cell>
        </row>
        <row r="853">
          <cell r="B853" t="str">
            <v>AMDNGH1034</v>
          </cell>
          <cell r="C853" t="str">
            <v>BANDANA JACQUARD STRAIGHT JEAN</v>
          </cell>
          <cell r="E853" t="str">
            <v>100% COTTON</v>
          </cell>
          <cell r="F853" t="str">
            <v>US</v>
          </cell>
          <cell r="H853">
            <v>161.0385</v>
          </cell>
          <cell r="I853">
            <v>13</v>
          </cell>
          <cell r="J853">
            <v>2093.5005000000001</v>
          </cell>
          <cell r="K853" t="str">
            <v>6203.42.4511</v>
          </cell>
          <cell r="L853" t="str">
            <v>6203.42.31.00.00</v>
          </cell>
        </row>
        <row r="854">
          <cell r="B854" t="str">
            <v>AMDNSM1008</v>
          </cell>
          <cell r="C854" t="str">
            <v>LEATHER BANDANA REPAIRED SLIM</v>
          </cell>
          <cell r="E854" t="str">
            <v>92% COTTON 6% ELASTOMULTIESTERE 2% ELASTANE, BOVINE LEATHER</v>
          </cell>
          <cell r="F854" t="str">
            <v>US</v>
          </cell>
          <cell r="H854">
            <v>181.9545</v>
          </cell>
          <cell r="I854">
            <v>8</v>
          </cell>
          <cell r="J854">
            <v>1455.636</v>
          </cell>
          <cell r="K854" t="str">
            <v>6203.42.4518</v>
          </cell>
          <cell r="L854" t="str">
            <v>6203.42.31.00.00</v>
          </cell>
        </row>
        <row r="855">
          <cell r="B855" t="str">
            <v>AMDNSY1055</v>
          </cell>
          <cell r="C855" t="str">
            <v>MX1 ULTRASUEDE</v>
          </cell>
          <cell r="E855" t="str">
            <v>92% COTTON 6% ELASTOMULTIESTERE 2% ELASTANE, APPLIQUE: 70% POLYESTER, 30% POLYURETHANE</v>
          </cell>
          <cell r="F855" t="str">
            <v>US</v>
          </cell>
          <cell r="H855">
            <v>161.00700000000001</v>
          </cell>
          <cell r="I855">
            <v>11</v>
          </cell>
          <cell r="J855">
            <v>1771.077</v>
          </cell>
          <cell r="K855" t="str">
            <v>6203.42.4518</v>
          </cell>
          <cell r="L855" t="str">
            <v>6203.42.31.00.00</v>
          </cell>
        </row>
        <row r="856">
          <cell r="B856" t="str">
            <v>AMDNSY1055</v>
          </cell>
          <cell r="C856" t="str">
            <v>MX1 ULTRASUEDE</v>
          </cell>
          <cell r="E856" t="str">
            <v>92% COTTON 6% ELASTOMULTIESTERE 2% ELASTANE, APPLIQUE: 70% POLYESTER, 30% POLYURETHANE</v>
          </cell>
          <cell r="F856" t="str">
            <v>US</v>
          </cell>
          <cell r="H856">
            <v>192.381</v>
          </cell>
          <cell r="I856">
            <v>12</v>
          </cell>
          <cell r="J856">
            <v>2308.5720000000001</v>
          </cell>
          <cell r="K856" t="str">
            <v>6203.42.4518</v>
          </cell>
          <cell r="L856" t="str">
            <v>6203.42.31.00.00</v>
          </cell>
        </row>
        <row r="857">
          <cell r="B857" t="str">
            <v>AMDNSY1081</v>
          </cell>
          <cell r="C857" t="str">
            <v>MA QUAD CONTRAST SKINNY JEAN</v>
          </cell>
          <cell r="E857" t="str">
            <v>92% COTTON 6% ELASTOMULTIESTERE 2% ELASTANE, APPLIQUE: 100% COTTON</v>
          </cell>
          <cell r="F857" t="str">
            <v>US</v>
          </cell>
          <cell r="H857">
            <v>118.57650000000001</v>
          </cell>
          <cell r="I857">
            <v>4</v>
          </cell>
          <cell r="J857">
            <v>474.30600000000004</v>
          </cell>
          <cell r="K857" t="str">
            <v>6203.42.4511</v>
          </cell>
          <cell r="L857" t="str">
            <v>6203.42.31.00.00</v>
          </cell>
        </row>
        <row r="858">
          <cell r="B858" t="str">
            <v>AMDNSY1086</v>
          </cell>
          <cell r="C858" t="str">
            <v>AMIRI SCRIPT LOGO SKINNY JEAN</v>
          </cell>
          <cell r="E858" t="str">
            <v>92% COTTON 6% ELASTOMULTIESTERE 2% ELASTANE, OVINE LEATHER</v>
          </cell>
          <cell r="F858" t="str">
            <v>US</v>
          </cell>
          <cell r="H858">
            <v>131.51249999999999</v>
          </cell>
          <cell r="I858">
            <v>4</v>
          </cell>
          <cell r="J858">
            <v>526.04999999999995</v>
          </cell>
          <cell r="K858" t="str">
            <v>6203.42.4518</v>
          </cell>
          <cell r="L858" t="str">
            <v>6203.42.31.00.00</v>
          </cell>
        </row>
        <row r="859">
          <cell r="B859" t="str">
            <v>AMHACP1016</v>
          </cell>
          <cell r="C859" t="str">
            <v>FULL CANVAS MA HAT</v>
          </cell>
          <cell r="E859" t="str">
            <v>100% COTTON</v>
          </cell>
          <cell r="F859" t="str">
            <v>US</v>
          </cell>
          <cell r="H859">
            <v>28.7805</v>
          </cell>
          <cell r="I859">
            <v>18</v>
          </cell>
          <cell r="J859">
            <v>518.04899999999998</v>
          </cell>
          <cell r="K859" t="str">
            <v>6505.00.2590</v>
          </cell>
          <cell r="L859" t="str">
            <v>6505.00.30.00.00</v>
          </cell>
        </row>
        <row r="860">
          <cell r="B860" t="str">
            <v>AMHACP1016</v>
          </cell>
          <cell r="C860" t="str">
            <v>FULL CANVAS MA HAT</v>
          </cell>
          <cell r="E860" t="str">
            <v>100% COTTON</v>
          </cell>
          <cell r="F860" t="str">
            <v>US</v>
          </cell>
          <cell r="H860">
            <v>30.975000000000001</v>
          </cell>
          <cell r="I860">
            <v>11</v>
          </cell>
          <cell r="J860">
            <v>340.72500000000002</v>
          </cell>
          <cell r="K860" t="str">
            <v>6505.00.2590</v>
          </cell>
          <cell r="L860" t="str">
            <v>6505.00.30.00.00</v>
          </cell>
        </row>
        <row r="861">
          <cell r="B861" t="str">
            <v>AMHACP1018</v>
          </cell>
          <cell r="C861" t="str">
            <v>MA TWO-TONE CANVAS HAT</v>
          </cell>
          <cell r="E861" t="str">
            <v>100% COTTON, LINING: 100% LYOCELL</v>
          </cell>
          <cell r="F861" t="str">
            <v>US</v>
          </cell>
          <cell r="H861">
            <v>37.401000000000003</v>
          </cell>
          <cell r="I861">
            <v>3</v>
          </cell>
          <cell r="J861">
            <v>112.203</v>
          </cell>
          <cell r="K861" t="str">
            <v>6505.00.2590</v>
          </cell>
          <cell r="L861" t="str">
            <v>6505.00.30.00.00</v>
          </cell>
        </row>
        <row r="862">
          <cell r="B862" t="str">
            <v>AMHACP1019</v>
          </cell>
          <cell r="C862" t="str">
            <v>MA QUAD CANVAS HAT</v>
          </cell>
          <cell r="E862" t="str">
            <v>100% COTTON, LINING: 100% LYOCELL</v>
          </cell>
          <cell r="F862" t="str">
            <v>US</v>
          </cell>
          <cell r="H862">
            <v>36.077999999999996</v>
          </cell>
          <cell r="I862">
            <v>3</v>
          </cell>
          <cell r="J862">
            <v>108.23399999999998</v>
          </cell>
          <cell r="K862" t="str">
            <v>6505.00.2590</v>
          </cell>
          <cell r="L862" t="str">
            <v>6505.00.30.00.00</v>
          </cell>
        </row>
        <row r="863">
          <cell r="B863" t="str">
            <v>AMHACP1039</v>
          </cell>
          <cell r="C863" t="str">
            <v>STAGGERED AMIRI CANVAS HAT</v>
          </cell>
          <cell r="E863" t="str">
            <v>100% COTTON, LINING: 100% LYOCELL</v>
          </cell>
          <cell r="F863" t="str">
            <v>US</v>
          </cell>
          <cell r="H863">
            <v>30.5655</v>
          </cell>
          <cell r="I863">
            <v>12</v>
          </cell>
          <cell r="J863">
            <v>366.786</v>
          </cell>
          <cell r="K863" t="str">
            <v>6505.00.2590</v>
          </cell>
          <cell r="L863" t="str">
            <v>6505.00.30.00.00</v>
          </cell>
        </row>
        <row r="864">
          <cell r="B864" t="str">
            <v>AMHACP1039</v>
          </cell>
          <cell r="C864" t="str">
            <v>STAGGERED AMIRI CANVAS HAT</v>
          </cell>
          <cell r="E864" t="str">
            <v>100% COTTON, LINING: 100% LYOCELL</v>
          </cell>
          <cell r="F864" t="str">
            <v>US</v>
          </cell>
          <cell r="H864">
            <v>30.775500000000005</v>
          </cell>
          <cell r="I864">
            <v>18</v>
          </cell>
          <cell r="J864">
            <v>553.95900000000006</v>
          </cell>
          <cell r="K864" t="str">
            <v>6505.00.2590</v>
          </cell>
          <cell r="L864" t="str">
            <v>6505.00.30.00.00</v>
          </cell>
        </row>
        <row r="865">
          <cell r="B865" t="str">
            <v>AMHACP1041</v>
          </cell>
          <cell r="C865" t="str">
            <v>MA CRYSTAL HAT</v>
          </cell>
          <cell r="E865" t="str">
            <v>100% COTTON, LINING: 100% LYOCELL</v>
          </cell>
          <cell r="F865" t="str">
            <v>US</v>
          </cell>
          <cell r="H865">
            <v>41.506500000000003</v>
          </cell>
          <cell r="I865">
            <v>6</v>
          </cell>
          <cell r="J865">
            <v>249.03900000000002</v>
          </cell>
          <cell r="K865" t="str">
            <v>6505.00.2590</v>
          </cell>
          <cell r="L865" t="str">
            <v>6505.00.30.00.00</v>
          </cell>
        </row>
        <row r="866">
          <cell r="B866" t="str">
            <v>AMHACP1042</v>
          </cell>
          <cell r="C866" t="str">
            <v>AMIRI CRYSTAL HAT</v>
          </cell>
          <cell r="E866" t="str">
            <v>100% COTTON; LINING: 100% LYOCELL, MESH: 100% POLYESTER</v>
          </cell>
          <cell r="F866" t="str">
            <v>US</v>
          </cell>
          <cell r="H866">
            <v>43.344000000000001</v>
          </cell>
          <cell r="I866">
            <v>6</v>
          </cell>
          <cell r="J866">
            <v>260.06400000000002</v>
          </cell>
          <cell r="K866" t="str">
            <v>6505.00.2590</v>
          </cell>
          <cell r="L866" t="str">
            <v>6505.00.30.00.00</v>
          </cell>
        </row>
        <row r="867">
          <cell r="B867" t="str">
            <v>AMHACP1043</v>
          </cell>
          <cell r="C867" t="str">
            <v>AMIRI LOUNGE BOX HAT</v>
          </cell>
          <cell r="E867" t="str">
            <v>100% COTTON; LINING: 100% LYOCELL, MESH: 100% POLYESTER</v>
          </cell>
          <cell r="F867" t="str">
            <v>US</v>
          </cell>
          <cell r="H867">
            <v>46.882499999999993</v>
          </cell>
          <cell r="I867">
            <v>6</v>
          </cell>
          <cell r="J867">
            <v>281.29499999999996</v>
          </cell>
          <cell r="K867" t="str">
            <v>6505.00.2590</v>
          </cell>
          <cell r="L867" t="str">
            <v>6505.00.30.00.00</v>
          </cell>
        </row>
        <row r="868">
          <cell r="B868" t="str">
            <v>AMHACP1054</v>
          </cell>
          <cell r="C868" t="str">
            <v>MA QUAD CRYSTAL CANVAS HAT</v>
          </cell>
          <cell r="E868" t="str">
            <v>100% COTTON, LINING: 100% LYOCELL</v>
          </cell>
          <cell r="F868" t="str">
            <v>US</v>
          </cell>
          <cell r="H868">
            <v>44.782499999999999</v>
          </cell>
          <cell r="I868">
            <v>5</v>
          </cell>
          <cell r="J868">
            <v>223.91249999999999</v>
          </cell>
          <cell r="K868" t="str">
            <v>6505.00.2590</v>
          </cell>
          <cell r="L868" t="str">
            <v>6505.00.30.00.00</v>
          </cell>
        </row>
        <row r="869">
          <cell r="B869" t="str">
            <v>AMHATR1014</v>
          </cell>
          <cell r="C869" t="str">
            <v>AMIRI CORE LOGO TRUCKER HAT</v>
          </cell>
          <cell r="E869" t="str">
            <v>100% COTTON; LINING: 100% LYOCELL, MESH: 100% POLYESTER</v>
          </cell>
          <cell r="F869" t="str">
            <v>US</v>
          </cell>
          <cell r="H869">
            <v>28.9695</v>
          </cell>
          <cell r="I869">
            <v>17</v>
          </cell>
          <cell r="J869">
            <v>492.48149999999998</v>
          </cell>
          <cell r="K869" t="str">
            <v>6505.00.2590</v>
          </cell>
          <cell r="L869" t="str">
            <v>6505.00.30.00.00</v>
          </cell>
        </row>
        <row r="870">
          <cell r="B870" t="str">
            <v>AMHATR1016</v>
          </cell>
          <cell r="C870" t="str">
            <v>BONES STACKED TRUCKER HAT</v>
          </cell>
          <cell r="E870" t="str">
            <v>100% COTTON; LINING: 100% LYOCELL, MESH: 100% POLYESTER</v>
          </cell>
          <cell r="F870" t="str">
            <v>US</v>
          </cell>
          <cell r="H870">
            <v>43.186500000000002</v>
          </cell>
          <cell r="I870">
            <v>10</v>
          </cell>
          <cell r="J870">
            <v>431.86500000000001</v>
          </cell>
          <cell r="K870" t="str">
            <v>6505.00.2590</v>
          </cell>
          <cell r="L870" t="str">
            <v>6505.00.30.00.00</v>
          </cell>
        </row>
        <row r="871">
          <cell r="B871" t="str">
            <v>AMHATR1018</v>
          </cell>
          <cell r="C871" t="str">
            <v>3 STAR TRUCKER HAT</v>
          </cell>
          <cell r="E871" t="str">
            <v>100% COTTON; LINING: 100% LYOCELL, MESH: 100% POLYESTER, APPLIQUE: BOVINE LEATHER</v>
          </cell>
          <cell r="F871" t="str">
            <v>US</v>
          </cell>
          <cell r="H871">
            <v>33.326999999999998</v>
          </cell>
          <cell r="I871">
            <v>3</v>
          </cell>
          <cell r="J871">
            <v>99.980999999999995</v>
          </cell>
          <cell r="K871" t="str">
            <v>6505.00.2590</v>
          </cell>
          <cell r="L871" t="str">
            <v>6505.00.30.00.00</v>
          </cell>
        </row>
        <row r="872">
          <cell r="B872" t="str">
            <v>AMHATR1021</v>
          </cell>
          <cell r="C872" t="str">
            <v>AMIRI BILLIARDS TRUCKER HAT</v>
          </cell>
          <cell r="E872" t="str">
            <v>100% COTTON; LINING: 100% LYOCELL, MESH: 100% POLYESTER</v>
          </cell>
          <cell r="F872" t="str">
            <v>US</v>
          </cell>
          <cell r="H872">
            <v>39.847499999999997</v>
          </cell>
          <cell r="I872">
            <v>6</v>
          </cell>
          <cell r="J872">
            <v>239.08499999999998</v>
          </cell>
          <cell r="K872" t="str">
            <v>6505.00.2590</v>
          </cell>
          <cell r="L872" t="str">
            <v>6505.00.30.00.00</v>
          </cell>
        </row>
        <row r="873">
          <cell r="B873" t="str">
            <v>AMJYHD1049</v>
          </cell>
          <cell r="C873" t="str">
            <v>AMIRI CORE LOGO HOODIE</v>
          </cell>
          <cell r="E873" t="str">
            <v>100% COTTON, HOOD LINING: 100% COTTON, POCKET LINING: 100% LYOCELL</v>
          </cell>
          <cell r="F873" t="str">
            <v>US</v>
          </cell>
          <cell r="H873">
            <v>73.667999999999992</v>
          </cell>
          <cell r="I873">
            <v>15</v>
          </cell>
          <cell r="J873">
            <v>1105.02</v>
          </cell>
          <cell r="K873" t="str">
            <v>6110.20.2069</v>
          </cell>
          <cell r="L873" t="str">
            <v>6110.20.91.00.00</v>
          </cell>
        </row>
        <row r="874">
          <cell r="B874" t="str">
            <v>AMJYHD1049</v>
          </cell>
          <cell r="C874" t="str">
            <v>AMIRI CORE LOGO HOODIE</v>
          </cell>
          <cell r="E874" t="str">
            <v>100% COTTON, HOOD LINING: 100% COTTON, POCKET LINING: 100% LYOCELL</v>
          </cell>
          <cell r="F874" t="str">
            <v>US</v>
          </cell>
          <cell r="H874">
            <v>74.497500000000002</v>
          </cell>
          <cell r="I874">
            <v>12</v>
          </cell>
          <cell r="J874">
            <v>893.97</v>
          </cell>
          <cell r="K874" t="str">
            <v>6110.20.2069</v>
          </cell>
          <cell r="L874" t="str">
            <v>6110.20.91.00.00</v>
          </cell>
        </row>
        <row r="875">
          <cell r="B875" t="str">
            <v>AMJYHD1050</v>
          </cell>
          <cell r="C875" t="str">
            <v>MA CORE LOGO HOODIE</v>
          </cell>
          <cell r="E875" t="str">
            <v>100% COTTON</v>
          </cell>
          <cell r="F875" t="str">
            <v>US</v>
          </cell>
          <cell r="H875">
            <v>77.605499999999992</v>
          </cell>
          <cell r="I875">
            <v>17</v>
          </cell>
          <cell r="J875">
            <v>1319.2934999999998</v>
          </cell>
          <cell r="K875" t="str">
            <v>6110.20.1010</v>
          </cell>
          <cell r="L875" t="str">
            <v>6110.20.91.00.00</v>
          </cell>
        </row>
        <row r="876">
          <cell r="B876" t="str">
            <v>AMJYSH1024</v>
          </cell>
          <cell r="C876" t="str">
            <v>AMIRI CORE LOGO SHORT</v>
          </cell>
          <cell r="E876" t="str">
            <v>100% COTTON, LINING: 100% LYOCELL</v>
          </cell>
          <cell r="F876" t="str">
            <v>US</v>
          </cell>
          <cell r="H876">
            <v>82.393500000000003</v>
          </cell>
          <cell r="I876">
            <v>9</v>
          </cell>
          <cell r="J876">
            <v>741.54150000000004</v>
          </cell>
          <cell r="K876" t="str">
            <v>6103.42.1050</v>
          </cell>
          <cell r="L876" t="str">
            <v>6103.42.00.00.00</v>
          </cell>
        </row>
        <row r="877">
          <cell r="B877" t="str">
            <v>AMJYSP1029</v>
          </cell>
          <cell r="C877" t="str">
            <v>MA CORE LOGO SWEATPANT</v>
          </cell>
          <cell r="E877" t="str">
            <v>100% COTTON, LINING: 100% LYOCELL</v>
          </cell>
          <cell r="F877" t="str">
            <v>US</v>
          </cell>
          <cell r="H877">
            <v>101.35649999999998</v>
          </cell>
          <cell r="I877">
            <v>3</v>
          </cell>
          <cell r="J877">
            <v>304.06949999999995</v>
          </cell>
          <cell r="K877" t="str">
            <v>6103.42.1020</v>
          </cell>
          <cell r="L877" t="str">
            <v>6103.42.00.00.00</v>
          </cell>
        </row>
        <row r="878">
          <cell r="B878" t="str">
            <v>AMJYSP1029</v>
          </cell>
          <cell r="C878" t="str">
            <v>MA CORE LOGO SWEATPANT</v>
          </cell>
          <cell r="E878" t="str">
            <v>100% COTTON, LINING: 100% LYOCELL</v>
          </cell>
          <cell r="F878" t="str">
            <v>US</v>
          </cell>
          <cell r="H878">
            <v>101.3565</v>
          </cell>
          <cell r="I878">
            <v>7</v>
          </cell>
          <cell r="J878">
            <v>709.49549999999999</v>
          </cell>
          <cell r="K878" t="str">
            <v>6103.42.1020</v>
          </cell>
          <cell r="L878" t="str">
            <v>6103.42.00.00.00</v>
          </cell>
        </row>
        <row r="879">
          <cell r="B879" t="str">
            <v>AMSTFL1008</v>
          </cell>
          <cell r="C879" t="str">
            <v>AMIRI SWIRL FLANNEL SHIRT</v>
          </cell>
          <cell r="E879" t="str">
            <v>100% COTTON</v>
          </cell>
          <cell r="F879" t="str">
            <v>US</v>
          </cell>
          <cell r="H879">
            <v>110.208</v>
          </cell>
          <cell r="I879">
            <v>4</v>
          </cell>
          <cell r="J879">
            <v>440.83199999999999</v>
          </cell>
          <cell r="K879" t="str">
            <v>6205.20.2016</v>
          </cell>
          <cell r="L879" t="str">
            <v>6205.20.00.00.18</v>
          </cell>
        </row>
        <row r="880">
          <cell r="B880" t="str">
            <v>AWDNCG1015</v>
          </cell>
          <cell r="C880" t="str">
            <v>BAGGY CARGO JEAN</v>
          </cell>
          <cell r="E880" t="str">
            <v>100% COTTON</v>
          </cell>
          <cell r="F880" t="str">
            <v>US</v>
          </cell>
          <cell r="H880">
            <v>167.88449999999997</v>
          </cell>
          <cell r="I880">
            <v>4</v>
          </cell>
          <cell r="J880">
            <v>671.5379999999999</v>
          </cell>
          <cell r="K880" t="str">
            <v>6204.62.8018</v>
          </cell>
          <cell r="L880" t="str">
            <v>6204.62.39.00.00</v>
          </cell>
        </row>
        <row r="881">
          <cell r="B881" t="str">
            <v>AWDNFR1005</v>
          </cell>
          <cell r="C881" t="str">
            <v>KICK FLARE</v>
          </cell>
          <cell r="E881" t="str">
            <v>97% COTTON 3% ELASTNE</v>
          </cell>
          <cell r="F881" t="str">
            <v>US</v>
          </cell>
          <cell r="H881">
            <v>110.63850000000001</v>
          </cell>
          <cell r="I881">
            <v>8</v>
          </cell>
          <cell r="J881">
            <v>885.10800000000006</v>
          </cell>
          <cell r="K881" t="str">
            <v>6204.62.8011</v>
          </cell>
          <cell r="L881" t="str">
            <v>6204.62.39.00.00</v>
          </cell>
        </row>
        <row r="882">
          <cell r="B882" t="str">
            <v>AWJYHD1019</v>
          </cell>
          <cell r="C882" t="str">
            <v>AMIRI CORE LOGO HOODIE</v>
          </cell>
          <cell r="E882" t="str">
            <v>100% COTTON, HOOD LINING: 100% COTTON, POCKET LINING: 100% LYOCELL</v>
          </cell>
          <cell r="F882" t="str">
            <v>US</v>
          </cell>
          <cell r="H882">
            <v>76.80749999999999</v>
          </cell>
          <cell r="I882">
            <v>9</v>
          </cell>
          <cell r="J882">
            <v>691.26749999999993</v>
          </cell>
          <cell r="K882" t="str">
            <v>6110.20.2079</v>
          </cell>
          <cell r="L882" t="str">
            <v>6110.20.99.00.00</v>
          </cell>
        </row>
        <row r="883">
          <cell r="B883" t="str">
            <v>AWJYHD1019</v>
          </cell>
          <cell r="C883" t="str">
            <v>AMIRI CORE LOGO HOODIE</v>
          </cell>
          <cell r="E883" t="str">
            <v>100% COTTON, HOOD LINING: 100% COTTON, POCKET LINING: 100% LYOCELL</v>
          </cell>
          <cell r="F883" t="str">
            <v>US</v>
          </cell>
          <cell r="H883">
            <v>76.807500000000005</v>
          </cell>
          <cell r="I883">
            <v>4</v>
          </cell>
          <cell r="J883">
            <v>307.23</v>
          </cell>
          <cell r="K883" t="str">
            <v>6110.20.2079</v>
          </cell>
          <cell r="L883" t="str">
            <v>6110.20.99.00.00</v>
          </cell>
        </row>
        <row r="884">
          <cell r="B884" t="str">
            <v>AWJYSP1012</v>
          </cell>
          <cell r="C884" t="str">
            <v>ARTS DISTRICT FLARE SWEATPANT</v>
          </cell>
          <cell r="E884" t="str">
            <v>100% COTTON, LINING: 100% LYOCELL</v>
          </cell>
          <cell r="F884" t="str">
            <v>US</v>
          </cell>
          <cell r="H884">
            <v>78.896999999999991</v>
          </cell>
          <cell r="I884">
            <v>3</v>
          </cell>
          <cell r="J884">
            <v>236.69099999999997</v>
          </cell>
          <cell r="K884" t="str">
            <v>6104.62.2011</v>
          </cell>
          <cell r="L884" t="str">
            <v>6104.62.00.00.00</v>
          </cell>
        </row>
        <row r="885">
          <cell r="B885" t="str">
            <v>AWJYSP1012</v>
          </cell>
          <cell r="C885" t="str">
            <v>ARTS DISTRICT FLARE SWEATPANT</v>
          </cell>
          <cell r="E885" t="str">
            <v>100% COTTON, LINING: 100% LYOCELL</v>
          </cell>
          <cell r="F885" t="str">
            <v>US</v>
          </cell>
          <cell r="H885">
            <v>78.897000000000006</v>
          </cell>
          <cell r="I885">
            <v>6</v>
          </cell>
          <cell r="J885">
            <v>473.38200000000006</v>
          </cell>
          <cell r="K885" t="str">
            <v>6104.62.2011</v>
          </cell>
          <cell r="L885" t="str">
            <v>6104.62.00.00.00</v>
          </cell>
        </row>
        <row r="886">
          <cell r="B886" t="str">
            <v>AWJYSP1014</v>
          </cell>
          <cell r="C886" t="str">
            <v>CORE LOGO FLARE SWEATPANT</v>
          </cell>
          <cell r="E886" t="str">
            <v>100% COTTON, LINING: 100% LYOCELL</v>
          </cell>
          <cell r="F886" t="str">
            <v>US</v>
          </cell>
          <cell r="H886">
            <v>78.015000000000001</v>
          </cell>
          <cell r="I886">
            <v>12</v>
          </cell>
          <cell r="J886">
            <v>936.18000000000006</v>
          </cell>
          <cell r="K886" t="str">
            <v>6104.62.2011</v>
          </cell>
          <cell r="L886" t="str">
            <v>6104.62.00.00.00</v>
          </cell>
        </row>
        <row r="887">
          <cell r="B887" t="str">
            <v>AWJYTE1043</v>
          </cell>
          <cell r="C887" t="str">
            <v>MA QUAD BABY TEE</v>
          </cell>
          <cell r="E887" t="str">
            <v>100% COTTON</v>
          </cell>
          <cell r="F887" t="str">
            <v>US</v>
          </cell>
          <cell r="H887">
            <v>32.76</v>
          </cell>
          <cell r="I887">
            <v>6</v>
          </cell>
          <cell r="J887">
            <v>196.56</v>
          </cell>
          <cell r="K887" t="str">
            <v>6109.10.0040</v>
          </cell>
          <cell r="L887" t="str">
            <v>6109.10.00.00.00</v>
          </cell>
        </row>
        <row r="888">
          <cell r="B888" t="str">
            <v>PXMAH001</v>
          </cell>
          <cell r="C888" t="str">
            <v>ARTS DISTRICT TRUCKER HAT</v>
          </cell>
          <cell r="E888" t="str">
            <v>100% COTTON</v>
          </cell>
          <cell r="F888" t="str">
            <v>US</v>
          </cell>
          <cell r="H888">
            <v>36.886499999999998</v>
          </cell>
          <cell r="I888">
            <v>15</v>
          </cell>
          <cell r="J888">
            <v>553.29750000000001</v>
          </cell>
          <cell r="K888" t="str">
            <v>6505.00.2590</v>
          </cell>
          <cell r="L888" t="str">
            <v>6505.00.30.00.00</v>
          </cell>
        </row>
        <row r="889">
          <cell r="B889" t="str">
            <v>PXMD001</v>
          </cell>
          <cell r="C889" t="str">
            <v>MX1</v>
          </cell>
          <cell r="E889" t="str">
            <v>92% COTTON 6% ELASTOMULTIESTERE 2% ELASTANE, OVINE LEATHER</v>
          </cell>
          <cell r="F889" t="str">
            <v>US</v>
          </cell>
          <cell r="H889">
            <v>148.6275</v>
          </cell>
          <cell r="I889">
            <v>16</v>
          </cell>
          <cell r="J889">
            <v>2378.04</v>
          </cell>
          <cell r="K889" t="str">
            <v>6203.42.4518</v>
          </cell>
          <cell r="L889" t="str">
            <v>6203.42.31.00.00</v>
          </cell>
        </row>
        <row r="890">
          <cell r="B890" t="str">
            <v>PXMD002</v>
          </cell>
          <cell r="C890" t="str">
            <v>Stack Jean</v>
          </cell>
          <cell r="E890" t="str">
            <v>92% COTTON 6% ELASTOMULTIESTERE 2% ELASTANE</v>
          </cell>
          <cell r="F890" t="str">
            <v>US</v>
          </cell>
          <cell r="H890">
            <v>96.957000000000008</v>
          </cell>
          <cell r="I890">
            <v>12</v>
          </cell>
          <cell r="J890">
            <v>1163.4840000000002</v>
          </cell>
          <cell r="K890" t="str">
            <v>6203.42.4518</v>
          </cell>
          <cell r="L890" t="str">
            <v>6203.42.31.00.00</v>
          </cell>
        </row>
        <row r="891">
          <cell r="B891" t="str">
            <v>PXWDS002</v>
          </cell>
          <cell r="C891" t="str">
            <v>MX1</v>
          </cell>
          <cell r="E891" t="str">
            <v>97% COTTON 3% ELASTNE, APPLIQUE: OVINE LEATHER</v>
          </cell>
          <cell r="F891" t="str">
            <v>US</v>
          </cell>
          <cell r="H891">
            <v>148.6422</v>
          </cell>
          <cell r="I891">
            <v>10</v>
          </cell>
          <cell r="J891">
            <v>1486.422</v>
          </cell>
          <cell r="K891" t="str">
            <v>6204.62.8011</v>
          </cell>
          <cell r="L891" t="str">
            <v>6204.62.31.00.00</v>
          </cell>
        </row>
        <row r="892">
          <cell r="B892" t="str">
            <v>PXWDS002</v>
          </cell>
          <cell r="C892" t="str">
            <v>MX1</v>
          </cell>
          <cell r="E892" t="str">
            <v>97% COTTON 3% ELASTNE, APPLIQUE: OVINE LEATHER</v>
          </cell>
          <cell r="F892" t="str">
            <v>US</v>
          </cell>
          <cell r="H892">
            <v>120.42449999999999</v>
          </cell>
          <cell r="I892">
            <v>9</v>
          </cell>
          <cell r="J892">
            <v>1083.8205</v>
          </cell>
          <cell r="K892" t="str">
            <v>6204.62.8011</v>
          </cell>
          <cell r="L892" t="str">
            <v>6204.62.31.00.00</v>
          </cell>
        </row>
        <row r="893">
          <cell r="B893" t="str">
            <v>XMAH002</v>
          </cell>
          <cell r="C893" t="str">
            <v>3 STAR TRUCKER HAT</v>
          </cell>
          <cell r="E893" t="str">
            <v>100% COTTON; LINING: 100% LYOCELL, MESH: 100% POLYESTER, APPLIQUE: BOVINE LEATHER</v>
          </cell>
          <cell r="F893" t="str">
            <v>US</v>
          </cell>
          <cell r="H893">
            <v>34.314</v>
          </cell>
          <cell r="I893">
            <v>12</v>
          </cell>
          <cell r="J893">
            <v>411.76800000000003</v>
          </cell>
          <cell r="K893" t="str">
            <v>6505.00.2590</v>
          </cell>
          <cell r="L893" t="str">
            <v>6505.00.30.00.00</v>
          </cell>
        </row>
        <row r="894">
          <cell r="B894" t="str">
            <v>XMAH002</v>
          </cell>
          <cell r="C894" t="str">
            <v>3 STAR TRUCKER HAT</v>
          </cell>
          <cell r="E894" t="str">
            <v>100% COTTON; LINING: 100% LYOCELL, MESH: 100% POLYESTER, APPLIQUE: BOVINE LEATHER</v>
          </cell>
          <cell r="F894" t="str">
            <v>US</v>
          </cell>
          <cell r="H894">
            <v>33.158999999999999</v>
          </cell>
          <cell r="I894">
            <v>15</v>
          </cell>
          <cell r="J894">
            <v>497.38499999999999</v>
          </cell>
          <cell r="K894" t="str">
            <v>6505.00.2590</v>
          </cell>
          <cell r="L894" t="str">
            <v>6505.00.30.00.00</v>
          </cell>
        </row>
        <row r="895">
          <cell r="B895" t="str">
            <v>XMAH009</v>
          </cell>
          <cell r="C895" t="str">
            <v>MA LOGO TRUCKER HAT</v>
          </cell>
          <cell r="E895" t="str">
            <v>100% COTTON</v>
          </cell>
          <cell r="F895" t="str">
            <v>US</v>
          </cell>
          <cell r="H895">
            <v>28.969499999999996</v>
          </cell>
          <cell r="I895">
            <v>12</v>
          </cell>
          <cell r="J895">
            <v>347.63399999999996</v>
          </cell>
          <cell r="K895" t="str">
            <v>6505.00.2590</v>
          </cell>
          <cell r="L895" t="str">
            <v>6505.00.30.00.00</v>
          </cell>
        </row>
        <row r="896">
          <cell r="B896" t="str">
            <v>XMAH009</v>
          </cell>
          <cell r="C896" t="str">
            <v>MA LOGO TRUCKER HAT</v>
          </cell>
          <cell r="E896" t="str">
            <v>100% COTTON</v>
          </cell>
          <cell r="F896" t="str">
            <v>US</v>
          </cell>
          <cell r="H896">
            <v>28.9695</v>
          </cell>
          <cell r="I896">
            <v>18</v>
          </cell>
          <cell r="J896">
            <v>521.45100000000002</v>
          </cell>
          <cell r="K896" t="str">
            <v>6505.00.2590</v>
          </cell>
          <cell r="L896" t="str">
            <v>6505.00.30.00.00</v>
          </cell>
        </row>
        <row r="897">
          <cell r="B897" t="str">
            <v>AMBGMI1001</v>
          </cell>
          <cell r="C897" t="str">
            <v>AMIRI MA QUAD DOPP KIT</v>
          </cell>
          <cell r="E897" t="str">
            <v>57% COTTON 24% LINEN 19% POLYURETHANE, 100% POLYAMIDE</v>
          </cell>
          <cell r="F897" t="str">
            <v>IT</v>
          </cell>
          <cell r="H897">
            <v>115.5</v>
          </cell>
          <cell r="I897">
            <v>5</v>
          </cell>
          <cell r="J897">
            <v>577.5</v>
          </cell>
          <cell r="K897">
            <v>61151090</v>
          </cell>
          <cell r="L897" t="str">
            <v>4202.92.98.90.00</v>
          </cell>
        </row>
        <row r="898">
          <cell r="B898" t="str">
            <v>AMBGTH1006</v>
          </cell>
          <cell r="C898" t="str">
            <v>MA QUAD LEATHER DUFFLE BAG</v>
          </cell>
          <cell r="E898" t="str">
            <v>100% BOVINE LEATHER, LINING: 100% POLYAMIDE</v>
          </cell>
          <cell r="F898" t="str">
            <v>IT</v>
          </cell>
          <cell r="H898">
            <v>477.75</v>
          </cell>
          <cell r="I898">
            <v>1</v>
          </cell>
          <cell r="J898">
            <v>477.75</v>
          </cell>
          <cell r="K898" t="str">
            <v>42022100</v>
          </cell>
          <cell r="L898" t="str">
            <v>4202.22.90.90.00</v>
          </cell>
        </row>
        <row r="899">
          <cell r="B899" t="str">
            <v>AMBGTO1010</v>
          </cell>
          <cell r="C899" t="str">
            <v>MA QUAD LEATHER TOTE</v>
          </cell>
          <cell r="E899" t="str">
            <v>100% BOVINE LEATHER, LINING: 100% POLYAMIDE</v>
          </cell>
          <cell r="F899" t="str">
            <v>IT</v>
          </cell>
          <cell r="H899">
            <v>425.25</v>
          </cell>
          <cell r="I899">
            <v>1</v>
          </cell>
          <cell r="J899">
            <v>425.25</v>
          </cell>
          <cell r="K899" t="str">
            <v>42022100</v>
          </cell>
          <cell r="L899" t="str">
            <v>4202.22.90.90.00</v>
          </cell>
        </row>
        <row r="900">
          <cell r="B900" t="str">
            <v>AMDNGH1048</v>
          </cell>
          <cell r="C900" t="str">
            <v>MA QUAD CUFF STRAIGHT JEAN</v>
          </cell>
          <cell r="E900" t="str">
            <v>100% COTTON</v>
          </cell>
          <cell r="F900" t="str">
            <v>IT</v>
          </cell>
          <cell r="H900">
            <v>136.5</v>
          </cell>
          <cell r="I900">
            <v>5</v>
          </cell>
          <cell r="J900">
            <v>682.5</v>
          </cell>
          <cell r="K900" t="str">
            <v>62034231</v>
          </cell>
          <cell r="L900" t="str">
            <v>6203.42.31.00.00</v>
          </cell>
        </row>
        <row r="901">
          <cell r="B901" t="str">
            <v>AMDNLS1005</v>
          </cell>
          <cell r="C901" t="str">
            <v>MA QUAD INTERIOR L/S SHIRT</v>
          </cell>
          <cell r="E901" t="str">
            <v>100% COTTON</v>
          </cell>
          <cell r="F901" t="str">
            <v>IT</v>
          </cell>
          <cell r="H901">
            <v>141.75</v>
          </cell>
          <cell r="I901">
            <v>4</v>
          </cell>
          <cell r="J901">
            <v>567</v>
          </cell>
          <cell r="K901" t="str">
            <v>62052000</v>
          </cell>
          <cell r="L901" t="str">
            <v>6205.20.00.00.18</v>
          </cell>
        </row>
        <row r="902">
          <cell r="B902" t="str">
            <v>AMFOSR1047</v>
          </cell>
          <cell r="C902" t="str">
            <v>SKEL TOP LOW</v>
          </cell>
          <cell r="E902" t="str">
            <v>UPPER :100% COW LEATHER/ OUTSOLE: 100% RUBBER</v>
          </cell>
          <cell r="F902" t="str">
            <v>VN</v>
          </cell>
          <cell r="H902">
            <v>82.15</v>
          </cell>
          <cell r="I902">
            <v>22</v>
          </cell>
          <cell r="J902">
            <v>1807.3000000000002</v>
          </cell>
          <cell r="K902" t="str">
            <v>64031900</v>
          </cell>
          <cell r="L902" t="str">
            <v>6403.19.00.00.00</v>
          </cell>
        </row>
        <row r="903">
          <cell r="B903" t="str">
            <v>AMFOSR1058</v>
          </cell>
          <cell r="C903" t="str">
            <v>BANDANA DENIM SKEL TOP LOW</v>
          </cell>
          <cell r="E903" t="str">
            <v>UPPER 100% Cotton Outsole:100% Rubber</v>
          </cell>
          <cell r="F903" t="str">
            <v>VN</v>
          </cell>
          <cell r="H903">
            <v>83.73</v>
          </cell>
          <cell r="I903">
            <v>8</v>
          </cell>
          <cell r="J903">
            <v>669.84</v>
          </cell>
          <cell r="K903" t="str">
            <v>64041100</v>
          </cell>
          <cell r="L903" t="str">
            <v>6404.11.00.00.00</v>
          </cell>
        </row>
        <row r="904">
          <cell r="B904" t="str">
            <v>AMFOSR1058</v>
          </cell>
          <cell r="C904" t="str">
            <v>BANDANA DENIM SKEL TOP LOW</v>
          </cell>
          <cell r="E904" t="str">
            <v>UPPER 100% Cotton Outsole:100% Rubber</v>
          </cell>
          <cell r="F904" t="str">
            <v>VN</v>
          </cell>
          <cell r="H904">
            <v>85.4</v>
          </cell>
          <cell r="I904">
            <v>6</v>
          </cell>
          <cell r="J904">
            <v>512.40000000000009</v>
          </cell>
          <cell r="K904" t="str">
            <v>64041100</v>
          </cell>
          <cell r="L904" t="str">
            <v>6404.11.00.00.00</v>
          </cell>
        </row>
        <row r="905">
          <cell r="B905" t="str">
            <v>AMFOSR1063</v>
          </cell>
          <cell r="C905" t="str">
            <v>BANDANA DENIM MA-1</v>
          </cell>
          <cell r="E905" t="str">
            <v>UPPER 100% Cotton Outsole:100% Rubber</v>
          </cell>
          <cell r="F905" t="str">
            <v>VN</v>
          </cell>
          <cell r="H905">
            <v>100.46</v>
          </cell>
          <cell r="I905">
            <v>6</v>
          </cell>
          <cell r="J905">
            <v>602.76</v>
          </cell>
          <cell r="K905" t="str">
            <v>64041100</v>
          </cell>
          <cell r="L905" t="str">
            <v>6404.11.00.00.00</v>
          </cell>
        </row>
        <row r="906">
          <cell r="B906" t="str">
            <v>AMFOSR1063</v>
          </cell>
          <cell r="C906" t="str">
            <v>BANDANA DENIM MA-1</v>
          </cell>
          <cell r="E906" t="str">
            <v>UPPER 100% Cotton Outsole:100% Rubber</v>
          </cell>
          <cell r="F906" t="str">
            <v>VN</v>
          </cell>
          <cell r="H906">
            <v>102.63</v>
          </cell>
          <cell r="I906">
            <v>10</v>
          </cell>
          <cell r="J906">
            <v>1026.3</v>
          </cell>
          <cell r="K906" t="str">
            <v>64041100</v>
          </cell>
          <cell r="L906" t="str">
            <v>6404.11.00.00.00</v>
          </cell>
        </row>
        <row r="907">
          <cell r="B907" t="str">
            <v>AMFOSR1071</v>
          </cell>
          <cell r="C907" t="str">
            <v>SKEL TOP LOW</v>
          </cell>
          <cell r="E907" t="str">
            <v xml:space="preserve">UPPER :100% COW  &amp; GOAT LEATHER OUTSOLE:100%RUBBER
</v>
          </cell>
          <cell r="F907" t="str">
            <v>VN</v>
          </cell>
          <cell r="H907">
            <v>82.16</v>
          </cell>
          <cell r="I907">
            <v>20</v>
          </cell>
          <cell r="J907">
            <v>1643.1999999999998</v>
          </cell>
          <cell r="K907" t="str">
            <v>64031900</v>
          </cell>
          <cell r="L907" t="str">
            <v>6403.19.00.00.00</v>
          </cell>
        </row>
        <row r="908">
          <cell r="B908" t="str">
            <v>AMFOSR1077</v>
          </cell>
          <cell r="C908" t="str">
            <v>VARSITY SKEL TOP LOW</v>
          </cell>
          <cell r="E908" t="str">
            <v>UPPER 1: 100% COW LEATHER, UPPER 2: 100% COW LEATHER, LINING: 100% POLYESTER MESH, OUTSOLE : 100% RUBBER</v>
          </cell>
          <cell r="F908" t="str">
            <v>VN</v>
          </cell>
          <cell r="H908">
            <v>83.2</v>
          </cell>
          <cell r="I908">
            <v>17</v>
          </cell>
          <cell r="J908">
            <v>1414.4</v>
          </cell>
          <cell r="K908" t="str">
            <v>64031900</v>
          </cell>
          <cell r="L908" t="str">
            <v>6403.19.00.00.00</v>
          </cell>
        </row>
        <row r="909">
          <cell r="B909" t="str">
            <v>AMFOSR1077</v>
          </cell>
          <cell r="C909" t="str">
            <v>VARSITY SKEL TOP LOW</v>
          </cell>
          <cell r="E909" t="str">
            <v>UPPER 1: 100% COW LEATHER, UPPER 2: 100% COW LEATHER, LINING: 100% POLYESTER MESH, OUTSOLE : 100% RUBBER</v>
          </cell>
          <cell r="F909" t="str">
            <v>VN</v>
          </cell>
          <cell r="H909">
            <v>83.21</v>
          </cell>
          <cell r="I909">
            <v>9</v>
          </cell>
          <cell r="J909">
            <v>748.89</v>
          </cell>
          <cell r="K909" t="str">
            <v>64031900</v>
          </cell>
          <cell r="L909" t="str">
            <v>6403.19.00.00.00</v>
          </cell>
        </row>
        <row r="910">
          <cell r="B910" t="str">
            <v>AMFOSR1088</v>
          </cell>
          <cell r="C910" t="str">
            <v>CLASSIC LOW</v>
          </cell>
          <cell r="E910" t="str">
            <v>UPPER 1: 100%  COW LEATHER, UPPER 2: 100% POLYESTER: 100% POLYESTER MESH, Outsole: 100% RUBBER</v>
          </cell>
          <cell r="F910" t="str">
            <v>VN</v>
          </cell>
          <cell r="H910">
            <v>91.21</v>
          </cell>
          <cell r="I910">
            <v>15</v>
          </cell>
          <cell r="J910">
            <v>1368.1499999999999</v>
          </cell>
          <cell r="K910" t="str">
            <v>64031900</v>
          </cell>
          <cell r="L910" t="str">
            <v>6403.19.00.00.00</v>
          </cell>
        </row>
        <row r="911">
          <cell r="B911" t="str">
            <v>AMFOSR1088</v>
          </cell>
          <cell r="C911" t="str">
            <v>CLASSIC LOW</v>
          </cell>
          <cell r="E911" t="str">
            <v>UPPER 1: 100%  COW LEATHER, UPPER 2: 100% POLYESTER: 100% POLYESTER MESH, Outsole: 100% RUBBER</v>
          </cell>
          <cell r="F911" t="str">
            <v>VN</v>
          </cell>
          <cell r="H911">
            <v>91.39</v>
          </cell>
          <cell r="I911">
            <v>9</v>
          </cell>
          <cell r="J911">
            <v>822.51</v>
          </cell>
          <cell r="K911" t="str">
            <v>64031900</v>
          </cell>
          <cell r="L911" t="str">
            <v>6403.19.00.00.00</v>
          </cell>
        </row>
        <row r="912">
          <cell r="B912" t="str">
            <v>AMFOSR1090</v>
          </cell>
          <cell r="C912" t="str">
            <v>PACIFIC</v>
          </cell>
          <cell r="E912" t="str">
            <v>UPPER 1: 100% COW LEATHER, UPPER 2: 100% COW LEATHER, : 100% POLYESTER MESH, OUTSOLE :100% RUBBER</v>
          </cell>
          <cell r="F912" t="str">
            <v>CN</v>
          </cell>
          <cell r="H912">
            <v>171.5</v>
          </cell>
          <cell r="I912">
            <v>40</v>
          </cell>
          <cell r="J912">
            <v>6860</v>
          </cell>
          <cell r="K912" t="str">
            <v>64031900</v>
          </cell>
          <cell r="L912" t="str">
            <v>6403.19.00.00.00</v>
          </cell>
        </row>
        <row r="913">
          <cell r="B913" t="str">
            <v>AMFOSR1092</v>
          </cell>
          <cell r="C913" t="str">
            <v>SUNSET SKATE LOW</v>
          </cell>
          <cell r="E913" t="str">
            <v>UPPER: 100% COW LEATHER LINING:100% POLYESTER MESH OUTSOLE:OUTSOLE:100% RUBBER MIDSOLE:100% EVA</v>
          </cell>
          <cell r="F913" t="str">
            <v>KH</v>
          </cell>
          <cell r="H913">
            <v>73.819999999999993</v>
          </cell>
          <cell r="I913">
            <v>20</v>
          </cell>
          <cell r="J913">
            <v>1476.3999999999999</v>
          </cell>
          <cell r="K913" t="str">
            <v>64031900</v>
          </cell>
          <cell r="L913" t="str">
            <v>6403.19.00.00.00</v>
          </cell>
        </row>
        <row r="914">
          <cell r="B914" t="str">
            <v>AMFOSR1097</v>
          </cell>
          <cell r="C914" t="str">
            <v>MA-1</v>
          </cell>
          <cell r="E914" t="str">
            <v>UPPER : 100% COW LEATHER LINING:80% COTTON+20%POLYESTER OUTSOLE:Outsole:100% RUBBER</v>
          </cell>
          <cell r="F914" t="str">
            <v>VN</v>
          </cell>
          <cell r="H914">
            <v>100.98</v>
          </cell>
          <cell r="I914">
            <v>20</v>
          </cell>
          <cell r="J914">
            <v>2019.6000000000001</v>
          </cell>
          <cell r="K914" t="str">
            <v>64031900</v>
          </cell>
          <cell r="L914" t="str">
            <v>6403.19.00.00.00</v>
          </cell>
        </row>
        <row r="915">
          <cell r="B915" t="str">
            <v>AMFOSR1097</v>
          </cell>
          <cell r="C915" t="str">
            <v>MA-1</v>
          </cell>
          <cell r="E915" t="str">
            <v>UPPER : 100% COW LEATHER LINING:80% COTTON+20%POLYESTER OUTSOLE:Outsole:100% RUBBER</v>
          </cell>
          <cell r="F915" t="str">
            <v>VN</v>
          </cell>
          <cell r="H915">
            <v>102.06</v>
          </cell>
          <cell r="I915">
            <v>22</v>
          </cell>
          <cell r="J915">
            <v>2245.3200000000002</v>
          </cell>
          <cell r="K915" t="str">
            <v>64031900</v>
          </cell>
          <cell r="L915" t="str">
            <v>6403.19.00.00.00</v>
          </cell>
        </row>
        <row r="916">
          <cell r="B916" t="str">
            <v>AMFOSR1097</v>
          </cell>
          <cell r="C916" t="str">
            <v>MA-1</v>
          </cell>
          <cell r="E916" t="str">
            <v>UPPER : 100% COW LEATHER LINING:80% COTTON+20%POLYESTER OUTSOLE:Outsole:100% RUBBER</v>
          </cell>
          <cell r="F916" t="str">
            <v>VN</v>
          </cell>
          <cell r="H916">
            <v>102.71</v>
          </cell>
          <cell r="I916">
            <v>20</v>
          </cell>
          <cell r="J916">
            <v>2054.1999999999998</v>
          </cell>
          <cell r="K916" t="str">
            <v>64031900</v>
          </cell>
          <cell r="L916" t="str">
            <v>6403.19.00.00.00</v>
          </cell>
        </row>
        <row r="917">
          <cell r="B917" t="str">
            <v>AMFOSR1101</v>
          </cell>
          <cell r="C917" t="str">
            <v>CLASSIC LOW</v>
          </cell>
          <cell r="E917" t="str">
            <v>UPPER :100% COW LEATHER  LINING:100% POLYESTER MESH OUTSOLE:Outsole:100% RUBBER</v>
          </cell>
          <cell r="F917" t="str">
            <v>VN</v>
          </cell>
          <cell r="H917">
            <v>89.61</v>
          </cell>
          <cell r="I917">
            <v>4</v>
          </cell>
          <cell r="J917">
            <v>358.44</v>
          </cell>
          <cell r="K917" t="str">
            <v>64031900</v>
          </cell>
          <cell r="L917" t="str">
            <v>6403.19.00.00.00</v>
          </cell>
        </row>
        <row r="918">
          <cell r="B918" t="str">
            <v>AMFOSR1101</v>
          </cell>
          <cell r="C918" t="str">
            <v>CLASSIC LOW</v>
          </cell>
          <cell r="E918" t="str">
            <v>UPPER 1: 100% COW LEATHER, UPPER 2: 100% POLYESTER, LINING: 100% POLYESTER MESH, OUTSOLE:100% RUBBER</v>
          </cell>
          <cell r="F918" t="str">
            <v>VN</v>
          </cell>
          <cell r="H918">
            <v>89.61</v>
          </cell>
          <cell r="I918">
            <v>18</v>
          </cell>
          <cell r="J918">
            <v>1612.98</v>
          </cell>
          <cell r="K918" t="str">
            <v>64031900</v>
          </cell>
          <cell r="L918" t="str">
            <v>6403.19.00.00.00</v>
          </cell>
        </row>
        <row r="919">
          <cell r="B919" t="str">
            <v>AMFOSR1102</v>
          </cell>
          <cell r="C919" t="str">
            <v>PACIFIC BONES</v>
          </cell>
          <cell r="E919" t="str">
            <v>UPPER 1: 100% COW LEATHER, UPPER 2: 100% COW LEATHER, LINING: 100% POLYESTER MESH, OUTSOLE : 100% RUBBER</v>
          </cell>
          <cell r="F919" t="str">
            <v>CN</v>
          </cell>
          <cell r="H919">
            <v>189</v>
          </cell>
          <cell r="I919">
            <v>29</v>
          </cell>
          <cell r="J919">
            <v>5481</v>
          </cell>
          <cell r="K919" t="str">
            <v>64031900</v>
          </cell>
          <cell r="L919" t="str">
            <v>6403.19.00.00.00</v>
          </cell>
        </row>
        <row r="920">
          <cell r="B920" t="str">
            <v>AMFOSR1133</v>
          </cell>
          <cell r="C920" t="str">
            <v>CRYSTAL CLASSIC LOW</v>
          </cell>
          <cell r="E920" t="str">
            <v>UPPER 1: 100% COW LEATHER, UPPER 2: 100% POLYESTER, LINING: 100% POLYESTER MESH, OUTSOLE:100% RUBBER</v>
          </cell>
          <cell r="F920" t="str">
            <v>VN</v>
          </cell>
          <cell r="H920">
            <v>115.76</v>
          </cell>
          <cell r="I920">
            <v>5</v>
          </cell>
          <cell r="J920">
            <v>578.80000000000007</v>
          </cell>
          <cell r="K920" t="str">
            <v>64031900</v>
          </cell>
          <cell r="L920" t="str">
            <v>6403.19.00.00.00</v>
          </cell>
        </row>
        <row r="921">
          <cell r="B921" t="str">
            <v>AMHAEA1010</v>
          </cell>
          <cell r="C921" t="str">
            <v>MA BEANIE</v>
          </cell>
          <cell r="E921" t="str">
            <v>100% WOOL</v>
          </cell>
          <cell r="F921" t="str">
            <v>IT</v>
          </cell>
          <cell r="H921">
            <v>38.85</v>
          </cell>
          <cell r="I921">
            <v>6</v>
          </cell>
          <cell r="J921">
            <v>233.10000000000002</v>
          </cell>
          <cell r="K921" t="str">
            <v>65050010</v>
          </cell>
          <cell r="L921" t="str">
            <v>6505.00.10.00.00</v>
          </cell>
        </row>
        <row r="922">
          <cell r="B922" t="str">
            <v>AMHAEA1018</v>
          </cell>
          <cell r="C922" t="str">
            <v>MA QUAD BEANIE</v>
          </cell>
          <cell r="E922" t="str">
            <v>100% WOOL</v>
          </cell>
          <cell r="F922" t="str">
            <v>IT</v>
          </cell>
          <cell r="H922">
            <v>38.85</v>
          </cell>
          <cell r="I922">
            <v>6</v>
          </cell>
          <cell r="J922">
            <v>233.10000000000002</v>
          </cell>
          <cell r="K922" t="str">
            <v>62033100</v>
          </cell>
          <cell r="L922" t="str">
            <v>6203.31.00.00.00</v>
          </cell>
        </row>
        <row r="923">
          <cell r="B923" t="str">
            <v>AMJYCW1041</v>
          </cell>
          <cell r="C923" t="str">
            <v>MA BANDANA SILK APPLIQUE CREW</v>
          </cell>
          <cell r="E923" t="str">
            <v>100% COTTON</v>
          </cell>
          <cell r="F923" t="str">
            <v>IT</v>
          </cell>
          <cell r="H923">
            <v>84.95</v>
          </cell>
          <cell r="I923">
            <v>6</v>
          </cell>
          <cell r="J923">
            <v>509.70000000000005</v>
          </cell>
          <cell r="K923" t="str">
            <v>61102091</v>
          </cell>
          <cell r="L923" t="str">
            <v>6110.20.91.00.00</v>
          </cell>
        </row>
        <row r="924">
          <cell r="B924" t="str">
            <v>AMJYHD1066</v>
          </cell>
          <cell r="C924" t="str">
            <v>MA QUAD ZIP UP HOODIE</v>
          </cell>
          <cell r="E924" t="str">
            <v>100% COTTON</v>
          </cell>
          <cell r="F924" t="str">
            <v>IT</v>
          </cell>
          <cell r="H924">
            <v>109.2</v>
          </cell>
          <cell r="I924">
            <v>6</v>
          </cell>
          <cell r="J924">
            <v>655.20000000000005</v>
          </cell>
          <cell r="K924" t="str">
            <v>61102091</v>
          </cell>
          <cell r="L924" t="str">
            <v>6110.20.91.00.00</v>
          </cell>
        </row>
        <row r="925">
          <cell r="B925" t="str">
            <v>AMJYHD1082</v>
          </cell>
          <cell r="C925" t="str">
            <v>MA HOLLYWOOD OVERSIZED HOODIE</v>
          </cell>
          <cell r="E925" t="str">
            <v>100% COTTON</v>
          </cell>
          <cell r="F925" t="str">
            <v>IT</v>
          </cell>
          <cell r="H925">
            <v>114.45</v>
          </cell>
          <cell r="I925">
            <v>7</v>
          </cell>
          <cell r="J925">
            <v>801.15</v>
          </cell>
          <cell r="K925" t="str">
            <v>61102091</v>
          </cell>
          <cell r="L925" t="str">
            <v>6110.20.91.00.00</v>
          </cell>
        </row>
        <row r="926">
          <cell r="B926" t="str">
            <v>AMJYHD1086</v>
          </cell>
          <cell r="C926" t="str">
            <v>VINTAGE AMIRI OVERSIZED HOODIE</v>
          </cell>
          <cell r="E926" t="str">
            <v>100% COTTON</v>
          </cell>
          <cell r="F926" t="str">
            <v>IT</v>
          </cell>
          <cell r="H926">
            <v>97.65</v>
          </cell>
          <cell r="I926">
            <v>7</v>
          </cell>
          <cell r="J926">
            <v>683.55000000000007</v>
          </cell>
          <cell r="K926" t="str">
            <v>61102091</v>
          </cell>
          <cell r="L926" t="str">
            <v>6110.20.91.00.00</v>
          </cell>
        </row>
        <row r="927">
          <cell r="B927" t="str">
            <v>AMJYSH1032</v>
          </cell>
          <cell r="C927" t="str">
            <v>MA QUAD SWEATSHORT</v>
          </cell>
          <cell r="E927" t="str">
            <v>100% COTTON</v>
          </cell>
          <cell r="F927" t="str">
            <v>IT</v>
          </cell>
          <cell r="H927">
            <v>75.08</v>
          </cell>
          <cell r="I927">
            <v>6</v>
          </cell>
          <cell r="J927">
            <v>450.48</v>
          </cell>
          <cell r="K927" t="str">
            <v>62034990</v>
          </cell>
          <cell r="L927" t="str">
            <v>6203.49.90.00.00</v>
          </cell>
        </row>
        <row r="928">
          <cell r="B928" t="str">
            <v>AMJYTE1059</v>
          </cell>
          <cell r="C928" t="str">
            <v>MA SHOTGUN EMBROIDERED TEE</v>
          </cell>
          <cell r="E928" t="str">
            <v>100% COTTON, RIB: 100% COTTON</v>
          </cell>
          <cell r="F928" t="str">
            <v>IT</v>
          </cell>
          <cell r="H928">
            <v>60.8</v>
          </cell>
          <cell r="I928">
            <v>46</v>
          </cell>
          <cell r="J928">
            <v>2796.7999999999997</v>
          </cell>
          <cell r="K928" t="str">
            <v>61091000</v>
          </cell>
          <cell r="L928" t="str">
            <v>6109.10.00.00.00</v>
          </cell>
        </row>
        <row r="929">
          <cell r="B929" t="str">
            <v>AMJYTE1071</v>
          </cell>
          <cell r="C929" t="str">
            <v>AMIRI ARTS DISTRICT TEE</v>
          </cell>
          <cell r="E929" t="str">
            <v>100% COTTON</v>
          </cell>
          <cell r="F929" t="str">
            <v>IT</v>
          </cell>
          <cell r="H929">
            <v>35.6</v>
          </cell>
          <cell r="I929">
            <v>70</v>
          </cell>
          <cell r="J929">
            <v>2492</v>
          </cell>
          <cell r="K929" t="str">
            <v>61091000</v>
          </cell>
          <cell r="L929" t="str">
            <v>6109.10.00.00.00</v>
          </cell>
        </row>
        <row r="930">
          <cell r="B930" t="str">
            <v>AMJYTE1073</v>
          </cell>
          <cell r="C930" t="str">
            <v>AMIRI CORE LOGO TEE</v>
          </cell>
          <cell r="E930" t="str">
            <v>100% COTTON</v>
          </cell>
          <cell r="F930" t="str">
            <v>IT</v>
          </cell>
          <cell r="H930">
            <v>33.5</v>
          </cell>
          <cell r="I930">
            <v>108</v>
          </cell>
          <cell r="J930">
            <v>3618</v>
          </cell>
          <cell r="K930" t="str">
            <v>61091000</v>
          </cell>
          <cell r="L930" t="str">
            <v>6109.10.00.00.00</v>
          </cell>
        </row>
        <row r="931">
          <cell r="B931" t="str">
            <v>AMJYTE1074</v>
          </cell>
          <cell r="C931" t="str">
            <v>MA CORE LOGO TEE</v>
          </cell>
          <cell r="E931" t="str">
            <v>100% COTTON</v>
          </cell>
          <cell r="F931" t="str">
            <v>IT</v>
          </cell>
          <cell r="H931">
            <v>36.65</v>
          </cell>
          <cell r="I931">
            <v>124</v>
          </cell>
          <cell r="J931">
            <v>4544.5999999999995</v>
          </cell>
          <cell r="K931" t="str">
            <v>61091000</v>
          </cell>
          <cell r="L931" t="str">
            <v>6109.10.00.00.00</v>
          </cell>
        </row>
        <row r="932">
          <cell r="B932" t="str">
            <v>AMJYTE1095</v>
          </cell>
          <cell r="C932" t="str">
            <v>MA BANDANA SILK APPLIQUE TEE</v>
          </cell>
          <cell r="E932" t="str">
            <v>100% COTTON</v>
          </cell>
          <cell r="F932" t="str">
            <v>IT</v>
          </cell>
          <cell r="H932">
            <v>40.950000000000003</v>
          </cell>
          <cell r="I932">
            <v>18</v>
          </cell>
          <cell r="J932">
            <v>737.1</v>
          </cell>
          <cell r="K932" t="str">
            <v>61091000</v>
          </cell>
          <cell r="L932" t="str">
            <v>6109.10.00.00.00</v>
          </cell>
        </row>
        <row r="933">
          <cell r="B933" t="str">
            <v>AMJYTE1106</v>
          </cell>
          <cell r="C933" t="str">
            <v>MA QUAD TEE</v>
          </cell>
          <cell r="E933" t="str">
            <v>100% COTTON</v>
          </cell>
          <cell r="F933" t="str">
            <v>IT</v>
          </cell>
          <cell r="H933">
            <v>28.25</v>
          </cell>
          <cell r="I933">
            <v>18</v>
          </cell>
          <cell r="J933">
            <v>508.5</v>
          </cell>
          <cell r="K933" t="str">
            <v>61091000</v>
          </cell>
          <cell r="L933" t="str">
            <v>6109.10.00.00.00</v>
          </cell>
        </row>
        <row r="934">
          <cell r="B934" t="str">
            <v>AMJYTE1126</v>
          </cell>
          <cell r="C934" t="str">
            <v>MA HOLLYWOOD OVERSIZED TEE</v>
          </cell>
          <cell r="E934" t="str">
            <v>100% COTTON</v>
          </cell>
          <cell r="F934" t="str">
            <v>IT</v>
          </cell>
          <cell r="H934">
            <v>69.3</v>
          </cell>
          <cell r="I934">
            <v>19</v>
          </cell>
          <cell r="J934">
            <v>1316.7</v>
          </cell>
          <cell r="K934" t="str">
            <v>61091000</v>
          </cell>
          <cell r="L934" t="str">
            <v>6109.10.00.00.00</v>
          </cell>
        </row>
        <row r="935">
          <cell r="B935" t="str">
            <v>AMJYTE1132</v>
          </cell>
          <cell r="C935" t="str">
            <v>MA QUAD TEE</v>
          </cell>
          <cell r="E935" t="str">
            <v>100% COTTON</v>
          </cell>
          <cell r="F935" t="str">
            <v>IT</v>
          </cell>
          <cell r="H935">
            <v>33.6</v>
          </cell>
          <cell r="I935">
            <v>34</v>
          </cell>
          <cell r="J935">
            <v>1142.4000000000001</v>
          </cell>
          <cell r="K935" t="str">
            <v>61091000</v>
          </cell>
          <cell r="L935" t="str">
            <v>6109.10.00.00.00</v>
          </cell>
        </row>
        <row r="936">
          <cell r="B936" t="str">
            <v>AMJYTE1135</v>
          </cell>
          <cell r="C936" t="str">
            <v>AMIRI POOL CUE TEE</v>
          </cell>
          <cell r="E936" t="str">
            <v>100% COTTON</v>
          </cell>
          <cell r="F936" t="str">
            <v>IT</v>
          </cell>
          <cell r="H936">
            <v>33.6</v>
          </cell>
          <cell r="I936">
            <v>9</v>
          </cell>
          <cell r="J936">
            <v>302.40000000000003</v>
          </cell>
          <cell r="K936" t="str">
            <v>61091000</v>
          </cell>
          <cell r="L936" t="str">
            <v>6109.10.00.00.00</v>
          </cell>
        </row>
        <row r="937">
          <cell r="B937" t="str">
            <v>AMJYTE1137</v>
          </cell>
          <cell r="C937" t="str">
            <v>VINTAGE AMIRI OVERSIZED TEE</v>
          </cell>
          <cell r="E937" t="str">
            <v>100% COTTON</v>
          </cell>
          <cell r="F937" t="str">
            <v>IT</v>
          </cell>
          <cell r="H937">
            <v>64.58</v>
          </cell>
          <cell r="I937">
            <v>15</v>
          </cell>
          <cell r="J937">
            <v>968.69999999999993</v>
          </cell>
          <cell r="K937" t="str">
            <v>61091000</v>
          </cell>
          <cell r="L937" t="str">
            <v>6109.10.00.00.00</v>
          </cell>
        </row>
        <row r="938">
          <cell r="B938" t="str">
            <v>AMJYTE1139</v>
          </cell>
          <cell r="C938" t="str">
            <v>AMIRI CHAMPIONSHIP OS TEE</v>
          </cell>
          <cell r="E938" t="str">
            <v>100% COTTON</v>
          </cell>
          <cell r="F938" t="str">
            <v>IT</v>
          </cell>
          <cell r="H938">
            <v>72.349999999999994</v>
          </cell>
          <cell r="I938">
            <v>9</v>
          </cell>
          <cell r="J938">
            <v>651.15</v>
          </cell>
          <cell r="K938" t="str">
            <v>61091000</v>
          </cell>
          <cell r="L938" t="str">
            <v>6109.10.00.00.00</v>
          </cell>
        </row>
        <row r="939">
          <cell r="B939" t="str">
            <v>AMJYTE1139</v>
          </cell>
          <cell r="C939" t="str">
            <v>AMIRI CHAMPIONSHIP OS TEE</v>
          </cell>
          <cell r="E939" t="str">
            <v>100% COTTON</v>
          </cell>
          <cell r="F939" t="str">
            <v>IT</v>
          </cell>
          <cell r="H939">
            <v>75.5</v>
          </cell>
          <cell r="I939">
            <v>16</v>
          </cell>
          <cell r="J939">
            <v>1208</v>
          </cell>
          <cell r="K939" t="str">
            <v>61091000</v>
          </cell>
          <cell r="L939" t="str">
            <v>6109.10.00.00.00</v>
          </cell>
        </row>
        <row r="940">
          <cell r="B940" t="str">
            <v>AMJYTE1146</v>
          </cell>
          <cell r="C940" t="str">
            <v>AMIRI CITY TEE</v>
          </cell>
          <cell r="E940" t="str">
            <v>100% COTTON</v>
          </cell>
          <cell r="F940" t="str">
            <v>IT</v>
          </cell>
          <cell r="H940">
            <v>33.5</v>
          </cell>
          <cell r="I940">
            <v>36</v>
          </cell>
          <cell r="J940">
            <v>1206</v>
          </cell>
          <cell r="K940" t="str">
            <v>61091000</v>
          </cell>
          <cell r="L940" t="str">
            <v>6109.10.00.00.00</v>
          </cell>
        </row>
        <row r="941">
          <cell r="B941" t="str">
            <v>AMJYTE1148</v>
          </cell>
          <cell r="C941" t="str">
            <v>THREE STAR TEE</v>
          </cell>
          <cell r="E941" t="str">
            <v>100% COTTON</v>
          </cell>
          <cell r="F941" t="str">
            <v>IT</v>
          </cell>
          <cell r="H941">
            <v>30.45</v>
          </cell>
          <cell r="I941">
            <v>40</v>
          </cell>
          <cell r="J941">
            <v>1218</v>
          </cell>
          <cell r="K941" t="str">
            <v>61091000</v>
          </cell>
          <cell r="L941" t="str">
            <v>6109.10.00.00.00</v>
          </cell>
        </row>
        <row r="942">
          <cell r="B942" t="str">
            <v>AMJYTE1149</v>
          </cell>
          <cell r="C942" t="str">
            <v>AMIRI STAGGERED LOGO TEE</v>
          </cell>
          <cell r="E942" t="str">
            <v>100% COTTON</v>
          </cell>
          <cell r="F942" t="str">
            <v>IT</v>
          </cell>
          <cell r="H942">
            <v>31.5</v>
          </cell>
          <cell r="I942">
            <v>42</v>
          </cell>
          <cell r="J942">
            <v>1323</v>
          </cell>
          <cell r="K942" t="str">
            <v>61091000</v>
          </cell>
          <cell r="L942" t="str">
            <v>6109.10.00.00.00</v>
          </cell>
        </row>
        <row r="943">
          <cell r="B943" t="str">
            <v>AMJYTE1185</v>
          </cell>
          <cell r="C943" t="str">
            <v>MA QUAD CRYSTAL TEE</v>
          </cell>
          <cell r="E943" t="str">
            <v>100% COTTON</v>
          </cell>
          <cell r="F943" t="str">
            <v>IT</v>
          </cell>
          <cell r="H943">
            <v>67.099999999999994</v>
          </cell>
          <cell r="I943">
            <v>9</v>
          </cell>
          <cell r="J943">
            <v>603.9</v>
          </cell>
          <cell r="K943" t="str">
            <v>61091000</v>
          </cell>
          <cell r="L943" t="str">
            <v>6109.10.00.00.00</v>
          </cell>
        </row>
        <row r="944">
          <cell r="B944" t="str">
            <v>AMKNCW1057</v>
          </cell>
          <cell r="C944" t="str">
            <v>MA QUAD CREWNECK</v>
          </cell>
          <cell r="E944" t="str">
            <v>63% WOOL 37% VISCOSE</v>
          </cell>
          <cell r="F944" t="str">
            <v>IT</v>
          </cell>
          <cell r="H944">
            <v>174.3</v>
          </cell>
          <cell r="I944">
            <v>8</v>
          </cell>
          <cell r="J944">
            <v>1394.4</v>
          </cell>
          <cell r="K944" t="str">
            <v>61101130</v>
          </cell>
          <cell r="L944" t="str">
            <v>6110.11.30.00.00</v>
          </cell>
        </row>
        <row r="945">
          <cell r="B945" t="str">
            <v>AMKNCW1066</v>
          </cell>
          <cell r="C945" t="str">
            <v>MA QUAD CREWNECK</v>
          </cell>
          <cell r="E945" t="str">
            <v>90% WOOL 10% VISCOSE</v>
          </cell>
          <cell r="F945" t="str">
            <v>IT</v>
          </cell>
          <cell r="H945">
            <v>155.4</v>
          </cell>
          <cell r="I945">
            <v>11</v>
          </cell>
          <cell r="J945">
            <v>1709.4</v>
          </cell>
          <cell r="K945" t="str">
            <v>61101130</v>
          </cell>
          <cell r="L945" t="str">
            <v>6110.11.30.00.00</v>
          </cell>
        </row>
        <row r="946">
          <cell r="B946" t="str">
            <v>AMKNCW1072</v>
          </cell>
          <cell r="C946" t="str">
            <v>MA QUAD CREW</v>
          </cell>
          <cell r="E946" t="str">
            <v>60% WOOL 30% VISCOSE</v>
          </cell>
          <cell r="F946" t="str">
            <v>IT</v>
          </cell>
          <cell r="H946">
            <v>155.4</v>
          </cell>
          <cell r="I946">
            <v>9</v>
          </cell>
          <cell r="J946">
            <v>1398.6000000000001</v>
          </cell>
          <cell r="K946" t="str">
            <v>61101130</v>
          </cell>
          <cell r="L946" t="str">
            <v>6110.11.30.00.00</v>
          </cell>
        </row>
        <row r="947">
          <cell r="B947" t="str">
            <v>AMKNHD1004</v>
          </cell>
          <cell r="C947" t="str">
            <v>BANDANA HOODIE</v>
          </cell>
          <cell r="E947" t="str">
            <v>100% EGYPTIAN COTTON</v>
          </cell>
          <cell r="F947" t="str">
            <v>IT</v>
          </cell>
          <cell r="H947">
            <v>189</v>
          </cell>
          <cell r="I947">
            <v>8</v>
          </cell>
          <cell r="J947">
            <v>1512</v>
          </cell>
          <cell r="K947" t="str">
            <v>61102091</v>
          </cell>
          <cell r="L947" t="str">
            <v>6110.20.91.00.00</v>
          </cell>
        </row>
        <row r="948">
          <cell r="B948" t="str">
            <v>AMKNHD1011</v>
          </cell>
          <cell r="C948" t="str">
            <v>MA QUAD HOODIE</v>
          </cell>
          <cell r="E948" t="str">
            <v>64% WOOL 36% POLYAMIDE</v>
          </cell>
          <cell r="F948" t="str">
            <v>IT</v>
          </cell>
          <cell r="H948">
            <v>214.2</v>
          </cell>
          <cell r="I948">
            <v>9</v>
          </cell>
          <cell r="J948">
            <v>1927.8</v>
          </cell>
          <cell r="K948">
            <v>61109090</v>
          </cell>
          <cell r="L948" t="str">
            <v>6110.90.90.00.00</v>
          </cell>
        </row>
        <row r="949">
          <cell r="B949" t="str">
            <v>AMKNIR1004</v>
          </cell>
          <cell r="C949" t="str">
            <v>MA SWIRL RETRO POLO</v>
          </cell>
          <cell r="E949" t="str">
            <v>100% WOOL</v>
          </cell>
          <cell r="F949" t="str">
            <v>IT</v>
          </cell>
          <cell r="H949">
            <v>165.9</v>
          </cell>
          <cell r="I949">
            <v>5</v>
          </cell>
          <cell r="J949">
            <v>829.5</v>
          </cell>
          <cell r="K949" t="str">
            <v>62059080</v>
          </cell>
          <cell r="L949" t="str">
            <v>6205.90.80.00.18</v>
          </cell>
        </row>
        <row r="950">
          <cell r="B950" t="str">
            <v>AMKNPO1029</v>
          </cell>
          <cell r="C950" t="str">
            <v>BANDANA POLO</v>
          </cell>
          <cell r="E950" t="str">
            <v>100% EGYPTIAN SUPERSOFT COTTON</v>
          </cell>
          <cell r="F950" t="str">
            <v>IT</v>
          </cell>
          <cell r="H950">
            <v>144.9</v>
          </cell>
          <cell r="I950">
            <v>14</v>
          </cell>
          <cell r="J950">
            <v>2028.6000000000001</v>
          </cell>
          <cell r="K950" t="str">
            <v>61051000</v>
          </cell>
          <cell r="L950" t="str">
            <v>6105.10.00.00.00</v>
          </cell>
        </row>
        <row r="951">
          <cell r="B951" t="str">
            <v>AMKNPO1035</v>
          </cell>
          <cell r="C951" t="str">
            <v>MA QUAD POLO</v>
          </cell>
          <cell r="E951" t="str">
            <v>63% WOOL 37% VISCOSE</v>
          </cell>
          <cell r="F951" t="str">
            <v>IT</v>
          </cell>
          <cell r="H951">
            <v>165.9</v>
          </cell>
          <cell r="I951">
            <v>9</v>
          </cell>
          <cell r="J951">
            <v>1493.1000000000001</v>
          </cell>
          <cell r="K951" t="str">
            <v>62059080</v>
          </cell>
          <cell r="L951" t="str">
            <v>6205.90.80.00.18</v>
          </cell>
        </row>
        <row r="952">
          <cell r="B952" t="str">
            <v>AMKNTE1016</v>
          </cell>
          <cell r="C952" t="str">
            <v>22 TEE</v>
          </cell>
          <cell r="E952" t="str">
            <v>100% COMPACT EGYPTIAN COTTON</v>
          </cell>
          <cell r="F952" t="str">
            <v>IT</v>
          </cell>
          <cell r="H952">
            <v>126</v>
          </cell>
          <cell r="I952">
            <v>14</v>
          </cell>
          <cell r="J952">
            <v>1764</v>
          </cell>
          <cell r="K952" t="str">
            <v>61091000</v>
          </cell>
          <cell r="L952" t="str">
            <v>6109.10.00.00.00</v>
          </cell>
        </row>
        <row r="953">
          <cell r="B953" t="str">
            <v>AMOUBB1024</v>
          </cell>
          <cell r="C953" t="str">
            <v>MA HOLLYWOOD PINSTRIPE BOMBER</v>
          </cell>
          <cell r="E953" t="str">
            <v>100% WOOL</v>
          </cell>
          <cell r="F953" t="str">
            <v>IT</v>
          </cell>
          <cell r="H953">
            <v>299.99</v>
          </cell>
          <cell r="I953">
            <v>7</v>
          </cell>
          <cell r="J953">
            <v>2099.9300000000003</v>
          </cell>
          <cell r="K953" t="str">
            <v>61019080</v>
          </cell>
          <cell r="L953" t="str">
            <v>6101.90.80.00.00</v>
          </cell>
        </row>
        <row r="954">
          <cell r="B954" t="str">
            <v>AMOUDW1006</v>
          </cell>
          <cell r="C954" t="str">
            <v>MA QUAD JACQUARD DOWN JACKET</v>
          </cell>
          <cell r="E954" t="str">
            <v>100% POLYAMIDE</v>
          </cell>
          <cell r="F954" t="str">
            <v>RO</v>
          </cell>
          <cell r="H954">
            <v>236.99</v>
          </cell>
          <cell r="I954">
            <v>5</v>
          </cell>
          <cell r="J954">
            <v>1184.95</v>
          </cell>
          <cell r="K954" t="str">
            <v>61013090</v>
          </cell>
          <cell r="L954" t="str">
            <v>6101.30.90.00.00</v>
          </cell>
        </row>
        <row r="955">
          <cell r="B955" t="str">
            <v>AMOUDW1007</v>
          </cell>
          <cell r="C955" t="str">
            <v>MA QUAD JACQUARD DOWN GILET</v>
          </cell>
          <cell r="E955" t="str">
            <v>100% POLYAMIDE</v>
          </cell>
          <cell r="F955" t="str">
            <v>RO</v>
          </cell>
          <cell r="H955">
            <v>210.32</v>
          </cell>
          <cell r="I955">
            <v>6</v>
          </cell>
          <cell r="J955">
            <v>1261.92</v>
          </cell>
          <cell r="K955" t="str">
            <v>61103091</v>
          </cell>
          <cell r="L955" t="str">
            <v>6110.30.91.00.00</v>
          </cell>
        </row>
        <row r="956">
          <cell r="B956" t="str">
            <v>AMOUDW1009</v>
          </cell>
          <cell r="C956" t="str">
            <v>MA QUAD DOWN JACKET</v>
          </cell>
          <cell r="E956" t="str">
            <v>100% POLYESTER</v>
          </cell>
          <cell r="F956" t="str">
            <v>RO</v>
          </cell>
          <cell r="H956">
            <v>238.77</v>
          </cell>
          <cell r="I956">
            <v>5</v>
          </cell>
          <cell r="J956">
            <v>1193.8500000000001</v>
          </cell>
          <cell r="K956" t="str">
            <v>61013090</v>
          </cell>
          <cell r="L956" t="str">
            <v>6101.30.90.00.00</v>
          </cell>
        </row>
        <row r="957">
          <cell r="B957" t="str">
            <v>AMOULW1014</v>
          </cell>
          <cell r="C957" t="str">
            <v>MA COACH JACKET</v>
          </cell>
          <cell r="E957" t="str">
            <v>100% NYLON</v>
          </cell>
          <cell r="F957" t="str">
            <v>IT</v>
          </cell>
          <cell r="H957">
            <v>246.02</v>
          </cell>
          <cell r="I957">
            <v>8</v>
          </cell>
          <cell r="J957">
            <v>1968.16</v>
          </cell>
          <cell r="K957" t="str">
            <v>61013010</v>
          </cell>
          <cell r="L957" t="str">
            <v>6101.30.10.00.00</v>
          </cell>
        </row>
        <row r="958">
          <cell r="B958" t="str">
            <v>AMOULW1024</v>
          </cell>
          <cell r="C958" t="str">
            <v>AMIRI CHAMPIONSHIP COACH JACKET</v>
          </cell>
          <cell r="E958" t="str">
            <v>54% POLYAMIDE 46%COTTON</v>
          </cell>
          <cell r="F958" t="str">
            <v>IT</v>
          </cell>
          <cell r="H958">
            <v>280.88</v>
          </cell>
          <cell r="I958">
            <v>5</v>
          </cell>
          <cell r="J958">
            <v>1404.4</v>
          </cell>
          <cell r="K958" t="str">
            <v>61013090</v>
          </cell>
          <cell r="L958" t="str">
            <v>6101.30.90.00.00</v>
          </cell>
        </row>
        <row r="959">
          <cell r="B959" t="str">
            <v>AMOUVY1007</v>
          </cell>
          <cell r="C959" t="str">
            <v>BONES JACKET</v>
          </cell>
          <cell r="E959" t="str">
            <v>75% WOOL 25% NYLON, TRIM: OVINE LEATHER, LINING: 100% VISCOSE</v>
          </cell>
          <cell r="F959" t="str">
            <v>IT</v>
          </cell>
          <cell r="H959">
            <v>258.3</v>
          </cell>
          <cell r="I959">
            <v>10</v>
          </cell>
          <cell r="J959">
            <v>2583</v>
          </cell>
          <cell r="K959" t="str">
            <v>61019080</v>
          </cell>
          <cell r="L959" t="str">
            <v>6101.90.80.00.00</v>
          </cell>
        </row>
        <row r="960">
          <cell r="B960" t="str">
            <v>AMOUVY1011</v>
          </cell>
          <cell r="C960" t="str">
            <v>MA QUAD BOMBER JACKET</v>
          </cell>
          <cell r="E960" t="str">
            <v>75% WOOL 25% POLYAMIDE</v>
          </cell>
          <cell r="F960" t="str">
            <v>IT</v>
          </cell>
          <cell r="H960">
            <v>346.5</v>
          </cell>
          <cell r="I960">
            <v>2</v>
          </cell>
          <cell r="J960">
            <v>693</v>
          </cell>
          <cell r="K960" t="str">
            <v>62033100</v>
          </cell>
          <cell r="L960" t="str">
            <v>6203.31.00.00.00</v>
          </cell>
        </row>
        <row r="961">
          <cell r="B961" t="str">
            <v>AMSHCA1043</v>
          </cell>
          <cell r="C961" t="str">
            <v>ARTS DISTRICT SHORT</v>
          </cell>
          <cell r="E961" t="str">
            <v>100% SILK</v>
          </cell>
          <cell r="F961" t="str">
            <v>IT</v>
          </cell>
          <cell r="H961">
            <v>120.54</v>
          </cell>
          <cell r="I961">
            <v>10</v>
          </cell>
          <cell r="J961">
            <v>1205.4000000000001</v>
          </cell>
          <cell r="K961" t="str">
            <v>61034900</v>
          </cell>
          <cell r="L961" t="str">
            <v>6103.49.00.00.91</v>
          </cell>
        </row>
        <row r="962">
          <cell r="B962" t="str">
            <v>AMSHCA1052</v>
          </cell>
          <cell r="C962" t="str">
            <v>MA QUAD SHORT</v>
          </cell>
          <cell r="E962" t="str">
            <v>100% SILK</v>
          </cell>
          <cell r="F962" t="str">
            <v>IT</v>
          </cell>
          <cell r="H962">
            <v>133.66999999999999</v>
          </cell>
          <cell r="I962">
            <v>4</v>
          </cell>
          <cell r="J962">
            <v>534.67999999999995</v>
          </cell>
          <cell r="K962" t="str">
            <v>62034990</v>
          </cell>
          <cell r="L962" t="str">
            <v>6203.49.90.00.00</v>
          </cell>
        </row>
        <row r="963">
          <cell r="B963" t="str">
            <v>AMSHCA1062</v>
          </cell>
          <cell r="C963" t="str">
            <v>MA QUAD SHORT</v>
          </cell>
          <cell r="E963" t="str">
            <v>100% SILK</v>
          </cell>
          <cell r="F963" t="str">
            <v>IT</v>
          </cell>
          <cell r="H963">
            <v>135.35</v>
          </cell>
          <cell r="I963">
            <v>5</v>
          </cell>
          <cell r="J963">
            <v>676.75</v>
          </cell>
          <cell r="K963" t="str">
            <v>62034990</v>
          </cell>
          <cell r="L963" t="str">
            <v>6203.49.90.00.00</v>
          </cell>
        </row>
        <row r="964">
          <cell r="B964" t="str">
            <v>AMSTBW1018</v>
          </cell>
          <cell r="C964" t="str">
            <v>ARTS DISTRICT BOWLING SHIRT</v>
          </cell>
          <cell r="E964" t="str">
            <v>100% SILK</v>
          </cell>
          <cell r="F964" t="str">
            <v>IT</v>
          </cell>
          <cell r="H964">
            <v>116.45</v>
          </cell>
          <cell r="I964">
            <v>17</v>
          </cell>
          <cell r="J964">
            <v>1979.65</v>
          </cell>
          <cell r="K964" t="str">
            <v>61059090</v>
          </cell>
          <cell r="L964" t="str">
            <v>6105.90.90.00.00</v>
          </cell>
        </row>
        <row r="965">
          <cell r="B965" t="str">
            <v>AMSTBW1020</v>
          </cell>
          <cell r="C965" t="str">
            <v>MIX AND MATCH MA SHIRT</v>
          </cell>
          <cell r="E965" t="str">
            <v>100% SILK</v>
          </cell>
          <cell r="F965" t="str">
            <v>IT</v>
          </cell>
          <cell r="H965">
            <v>113.19</v>
          </cell>
          <cell r="I965">
            <v>16</v>
          </cell>
          <cell r="J965">
            <v>1811.04</v>
          </cell>
          <cell r="K965" t="str">
            <v>61059090</v>
          </cell>
          <cell r="L965" t="str">
            <v>6105.90.90.00.00</v>
          </cell>
        </row>
        <row r="966">
          <cell r="B966" t="str">
            <v>AMSTCA1033</v>
          </cell>
          <cell r="C966" t="str">
            <v>MA QUAD BOWLING SHIRT</v>
          </cell>
          <cell r="E966" t="str">
            <v>100% SILK</v>
          </cell>
          <cell r="F966" t="str">
            <v>IT</v>
          </cell>
          <cell r="H966">
            <v>129.36000000000001</v>
          </cell>
          <cell r="I966">
            <v>9</v>
          </cell>
          <cell r="J966">
            <v>1164.2400000000002</v>
          </cell>
          <cell r="K966" t="str">
            <v>62059080</v>
          </cell>
          <cell r="L966" t="str">
            <v>6205.90.80.00.18</v>
          </cell>
        </row>
        <row r="967">
          <cell r="B967" t="str">
            <v>AMSTCA1070</v>
          </cell>
          <cell r="C967" t="str">
            <v>MA QUAD JACQUARD CAMP SHIRT</v>
          </cell>
          <cell r="E967" t="str">
            <v>100% VISCOSE</v>
          </cell>
          <cell r="F967" t="str">
            <v>IT</v>
          </cell>
          <cell r="H967">
            <v>96.6</v>
          </cell>
          <cell r="I967">
            <v>10</v>
          </cell>
          <cell r="J967">
            <v>966</v>
          </cell>
          <cell r="K967" t="str">
            <v>62053000</v>
          </cell>
          <cell r="L967" t="str">
            <v>6205.30.00.00.00</v>
          </cell>
        </row>
        <row r="968">
          <cell r="B968" t="str">
            <v>AMSTCA1071</v>
          </cell>
          <cell r="C968" t="str">
            <v>BILLIARDS CLUB CAMP SHIRT</v>
          </cell>
          <cell r="E968" t="str">
            <v>100% MODAL</v>
          </cell>
          <cell r="F968" t="str">
            <v>IT</v>
          </cell>
          <cell r="H968">
            <v>129.38999999999999</v>
          </cell>
          <cell r="I968">
            <v>9</v>
          </cell>
          <cell r="J968">
            <v>1164.5099999999998</v>
          </cell>
          <cell r="K968" t="str">
            <v>62053000</v>
          </cell>
          <cell r="L968" t="str">
            <v>6205.30.00.00.00</v>
          </cell>
        </row>
        <row r="969">
          <cell r="B969" t="str">
            <v>AMSTCA1075</v>
          </cell>
          <cell r="C969" t="str">
            <v>MA QUAD BOWLING SHIRT</v>
          </cell>
          <cell r="E969" t="str">
            <v>100% COTTON</v>
          </cell>
          <cell r="F969" t="str">
            <v>IT</v>
          </cell>
          <cell r="H969">
            <v>80.12</v>
          </cell>
          <cell r="I969">
            <v>16</v>
          </cell>
          <cell r="J969">
            <v>1281.92</v>
          </cell>
          <cell r="K969" t="str">
            <v>62052000</v>
          </cell>
          <cell r="L969" t="str">
            <v>6205.20.00.00.18</v>
          </cell>
        </row>
        <row r="970">
          <cell r="B970" t="str">
            <v>AMSTCA1078</v>
          </cell>
          <cell r="C970" t="str">
            <v>AMIRI POOL CUE BOWLING SHIRT</v>
          </cell>
          <cell r="E970" t="str">
            <v>100% VISCOSE</v>
          </cell>
          <cell r="F970" t="str">
            <v>IT</v>
          </cell>
          <cell r="H970">
            <v>105.32</v>
          </cell>
          <cell r="I970">
            <v>9</v>
          </cell>
          <cell r="J970">
            <v>947.87999999999988</v>
          </cell>
          <cell r="K970" t="str">
            <v>62053000</v>
          </cell>
          <cell r="L970" t="str">
            <v>6205.30.00.00.00</v>
          </cell>
        </row>
        <row r="971">
          <cell r="B971" t="str">
            <v>AMSTCA1080</v>
          </cell>
          <cell r="C971" t="str">
            <v>MA QUAD BOWLING SHIRT</v>
          </cell>
          <cell r="E971" t="str">
            <v>100% VISCOSE</v>
          </cell>
          <cell r="F971" t="str">
            <v>IT</v>
          </cell>
          <cell r="H971">
            <v>98.91</v>
          </cell>
          <cell r="I971">
            <v>15</v>
          </cell>
          <cell r="J971">
            <v>1483.6499999999999</v>
          </cell>
          <cell r="K971" t="str">
            <v>62053000</v>
          </cell>
          <cell r="L971" t="str">
            <v>6205.30.00.00.00</v>
          </cell>
        </row>
        <row r="972">
          <cell r="B972" t="str">
            <v>AMSTCA1082</v>
          </cell>
          <cell r="C972" t="str">
            <v>AMIRI POOL HALL BOWLING SHIRT</v>
          </cell>
          <cell r="E972" t="str">
            <v>100% SILK</v>
          </cell>
          <cell r="F972" t="str">
            <v>IT</v>
          </cell>
          <cell r="H972">
            <v>129.36000000000001</v>
          </cell>
          <cell r="I972">
            <v>8</v>
          </cell>
          <cell r="J972">
            <v>1034.8800000000001</v>
          </cell>
          <cell r="K972" t="str">
            <v>62059080</v>
          </cell>
          <cell r="L972" t="str">
            <v>6205.90.80.00.18</v>
          </cell>
        </row>
        <row r="973">
          <cell r="B973" t="str">
            <v>AWBGTH1011</v>
          </cell>
          <cell r="C973" t="str">
            <v>MICRO MA BAG</v>
          </cell>
          <cell r="E973" t="str">
            <v>100% LEATHER</v>
          </cell>
          <cell r="F973" t="str">
            <v>IT</v>
          </cell>
          <cell r="H973">
            <v>197.4</v>
          </cell>
          <cell r="I973">
            <v>2</v>
          </cell>
          <cell r="J973">
            <v>394.8</v>
          </cell>
          <cell r="K973" t="str">
            <v>42022100</v>
          </cell>
          <cell r="L973" t="str">
            <v>4202.21.00.00.00</v>
          </cell>
        </row>
        <row r="974">
          <cell r="B974" t="str">
            <v>AWBGTH1026</v>
          </cell>
          <cell r="C974" t="str">
            <v>MA QUAD MICRO TRIANGLE BAG</v>
          </cell>
          <cell r="E974" t="str">
            <v>100% BOVINE LEATHER, LINING: 40% POLYURETHAN 60% POLYESTER</v>
          </cell>
          <cell r="F974" t="str">
            <v>IT</v>
          </cell>
          <cell r="H974">
            <v>250.95</v>
          </cell>
          <cell r="I974">
            <v>4</v>
          </cell>
          <cell r="J974">
            <v>1003.8</v>
          </cell>
          <cell r="K974" t="str">
            <v>42022100</v>
          </cell>
          <cell r="L974" t="str">
            <v>4202.21.00.00.00</v>
          </cell>
        </row>
        <row r="975">
          <cell r="B975" t="str">
            <v>AWBGTH1028</v>
          </cell>
          <cell r="C975" t="str">
            <v>MICRO LONG MA BAG</v>
          </cell>
          <cell r="E975" t="str">
            <v>100% BOVINE LEATHER, LINING: 40% POLYURETHAN 60% POLYESTER</v>
          </cell>
          <cell r="F975" t="str">
            <v>IT</v>
          </cell>
          <cell r="H975">
            <v>194.25</v>
          </cell>
          <cell r="I975">
            <v>4</v>
          </cell>
          <cell r="J975">
            <v>777</v>
          </cell>
          <cell r="K975" t="str">
            <v>42022100</v>
          </cell>
          <cell r="L975" t="str">
            <v>4202.21.00.00.00</v>
          </cell>
        </row>
        <row r="976">
          <cell r="B976" t="str">
            <v>AWBGTH1034</v>
          </cell>
          <cell r="C976" t="str">
            <v>DENIM BANDANA MICRO TRIANGLE</v>
          </cell>
          <cell r="E976" t="str">
            <v>100% COTTON, LINING: 40% POLYURETHAN 60% POLYESTER</v>
          </cell>
          <cell r="F976" t="str">
            <v>IT</v>
          </cell>
          <cell r="H976">
            <v>267.75</v>
          </cell>
          <cell r="I976">
            <v>1</v>
          </cell>
          <cell r="J976">
            <v>267.75</v>
          </cell>
          <cell r="K976" t="str">
            <v>42022290</v>
          </cell>
          <cell r="L976" t="str">
            <v>4202.22.90.90.00</v>
          </cell>
        </row>
        <row r="977">
          <cell r="B977" t="str">
            <v>AWBGTH1037</v>
          </cell>
          <cell r="C977" t="str">
            <v>DENIM BANDANA MICRO MA BAG</v>
          </cell>
          <cell r="E977" t="str">
            <v>100% COTTON, LINING: 40% POLYURETHAN 60% POLYESTER</v>
          </cell>
          <cell r="F977" t="str">
            <v>IT</v>
          </cell>
          <cell r="H977">
            <v>194.25</v>
          </cell>
          <cell r="I977">
            <v>1</v>
          </cell>
          <cell r="J977">
            <v>194.25</v>
          </cell>
          <cell r="K977" t="str">
            <v>42022290</v>
          </cell>
          <cell r="L977" t="str">
            <v>4202.22.90.90.00</v>
          </cell>
        </row>
        <row r="978">
          <cell r="B978" t="str">
            <v>AWDNBU1012</v>
          </cell>
          <cell r="C978" t="str">
            <v>MA QUAD ZIP CORSET</v>
          </cell>
          <cell r="E978" t="str">
            <v>97% COTTON 3% ELASTNE</v>
          </cell>
          <cell r="F978" t="str">
            <v>IT</v>
          </cell>
          <cell r="H978">
            <v>97.65</v>
          </cell>
          <cell r="I978">
            <v>4</v>
          </cell>
          <cell r="J978">
            <v>390.6</v>
          </cell>
          <cell r="K978" t="str">
            <v>62114290</v>
          </cell>
          <cell r="L978" t="str">
            <v>6211.42.90.00.00</v>
          </cell>
        </row>
        <row r="979">
          <cell r="B979" t="str">
            <v>AWDNGG1006</v>
          </cell>
          <cell r="C979" t="str">
            <v>MA QUAD HIGH RISE WIDE</v>
          </cell>
          <cell r="E979" t="str">
            <v>100% COTTON</v>
          </cell>
          <cell r="F979" t="str">
            <v>IT</v>
          </cell>
          <cell r="H979">
            <v>99.75</v>
          </cell>
          <cell r="I979">
            <v>6</v>
          </cell>
          <cell r="J979">
            <v>598.5</v>
          </cell>
          <cell r="K979" t="str">
            <v>62046231</v>
          </cell>
          <cell r="L979" t="str">
            <v>6204.62.31.00.00</v>
          </cell>
        </row>
        <row r="980">
          <cell r="B980" t="str">
            <v>AWDNWJ1005</v>
          </cell>
          <cell r="C980" t="str">
            <v>MA QUAD WORKWEAR JACKET</v>
          </cell>
          <cell r="E980" t="str">
            <v>100% COTTON</v>
          </cell>
          <cell r="F980" t="str">
            <v>IT</v>
          </cell>
          <cell r="H980">
            <v>132.30000000000001</v>
          </cell>
          <cell r="I980">
            <v>4</v>
          </cell>
          <cell r="J980">
            <v>529.20000000000005</v>
          </cell>
          <cell r="K980" t="str">
            <v>62023090</v>
          </cell>
          <cell r="L980" t="str">
            <v>6202.30.90.00.11</v>
          </cell>
        </row>
        <row r="981">
          <cell r="B981" t="str">
            <v>AWFOSR1034</v>
          </cell>
          <cell r="C981" t="str">
            <v>SKEL TOP LOW</v>
          </cell>
          <cell r="E981" t="str">
            <v>UPPER :100% COW LEATHER/ OUTSOLE: 100% RUBBER</v>
          </cell>
          <cell r="F981" t="str">
            <v>VN</v>
          </cell>
          <cell r="H981">
            <v>77.94</v>
          </cell>
          <cell r="I981">
            <v>16</v>
          </cell>
          <cell r="J981">
            <v>1247.04</v>
          </cell>
          <cell r="K981" t="str">
            <v>64031900</v>
          </cell>
          <cell r="L981" t="str">
            <v>6403.19.00.00.00</v>
          </cell>
        </row>
        <row r="982">
          <cell r="B982" t="str">
            <v>AWFOSR1034</v>
          </cell>
          <cell r="C982" t="str">
            <v>SKEL TOP LOW</v>
          </cell>
          <cell r="E982" t="str">
            <v>UPPER :100% COW LEATHER/ OUTSOLE: 100% RUBBER</v>
          </cell>
          <cell r="F982" t="str">
            <v>VN</v>
          </cell>
          <cell r="H982">
            <v>79.239999999999995</v>
          </cell>
          <cell r="I982">
            <v>15</v>
          </cell>
          <cell r="J982">
            <v>1188.5999999999999</v>
          </cell>
          <cell r="K982" t="str">
            <v>64031900</v>
          </cell>
          <cell r="L982" t="str">
            <v>6403.19.00.00.00</v>
          </cell>
        </row>
        <row r="983">
          <cell r="B983" t="str">
            <v>AWFOSR1075</v>
          </cell>
          <cell r="C983" t="str">
            <v>PACIFIC</v>
          </cell>
          <cell r="E983" t="str">
            <v>UPPER 1: 100% COW LEATHER, UPPER 2: 100% COW LEATHER,LINING: 100% POLYESTER MESH, OUTSOLE : 100% RUBBER</v>
          </cell>
          <cell r="F983" t="str">
            <v>CN</v>
          </cell>
          <cell r="H983">
            <v>171.5</v>
          </cell>
          <cell r="I983">
            <v>33</v>
          </cell>
          <cell r="J983">
            <v>5659.5</v>
          </cell>
          <cell r="K983" t="str">
            <v>64031900</v>
          </cell>
          <cell r="L983" t="str">
            <v>6403.19.00.00.00</v>
          </cell>
        </row>
        <row r="984">
          <cell r="B984" t="str">
            <v>AWFOSR1080</v>
          </cell>
          <cell r="C984" t="str">
            <v>MA-1</v>
          </cell>
          <cell r="E984" t="str">
            <v>UPPER : 100% COW LEATHER</v>
          </cell>
          <cell r="F984" t="str">
            <v>VN</v>
          </cell>
          <cell r="H984">
            <v>99.29</v>
          </cell>
          <cell r="I984">
            <v>16</v>
          </cell>
          <cell r="J984">
            <v>1588.64</v>
          </cell>
          <cell r="K984" t="str">
            <v>64031900</v>
          </cell>
          <cell r="L984" t="str">
            <v>6403.19.00.00.00</v>
          </cell>
        </row>
        <row r="985">
          <cell r="B985" t="str">
            <v>AWFOSR1080</v>
          </cell>
          <cell r="C985" t="str">
            <v>MA-1</v>
          </cell>
          <cell r="E985" t="str">
            <v>UPPER : 100% COW LEATHER</v>
          </cell>
          <cell r="F985" t="str">
            <v>VN</v>
          </cell>
          <cell r="H985">
            <v>104.12</v>
          </cell>
          <cell r="I985">
            <v>14</v>
          </cell>
          <cell r="J985">
            <v>1457.68</v>
          </cell>
          <cell r="K985" t="str">
            <v>64031900</v>
          </cell>
          <cell r="L985" t="str">
            <v>6403.19.00.00.00</v>
          </cell>
        </row>
        <row r="986">
          <cell r="B986" t="str">
            <v>AWFOSR1084</v>
          </cell>
          <cell r="C986" t="str">
            <v>CLASSIC LOW</v>
          </cell>
          <cell r="E986" t="str">
            <v>UPPER : BOVINE LEATHER, LINING: 100% POLYESTER, SOLE: 100% RUBBER</v>
          </cell>
          <cell r="F986" t="str">
            <v>VN</v>
          </cell>
          <cell r="H986">
            <v>90.5</v>
          </cell>
          <cell r="I986">
            <v>3</v>
          </cell>
          <cell r="J986">
            <v>271.5</v>
          </cell>
          <cell r="K986" t="str">
            <v>64031900</v>
          </cell>
          <cell r="L986" t="str">
            <v>6403.19.00.00.00</v>
          </cell>
        </row>
        <row r="987">
          <cell r="B987" t="str">
            <v>AWFOSR1084</v>
          </cell>
          <cell r="C987" t="str">
            <v>CLASSIC LOW</v>
          </cell>
          <cell r="E987" t="str">
            <v>UPPER : BOVINE LEATHER, LINING: 100% POLYESTER, SOLE: 100% RUBBER</v>
          </cell>
          <cell r="F987" t="str">
            <v>VN</v>
          </cell>
          <cell r="H987">
            <v>93.86</v>
          </cell>
          <cell r="I987">
            <v>3</v>
          </cell>
          <cell r="J987">
            <v>281.58</v>
          </cell>
          <cell r="K987" t="str">
            <v>64031900</v>
          </cell>
          <cell r="L987" t="str">
            <v>6403.19.00.00.00</v>
          </cell>
        </row>
        <row r="988">
          <cell r="B988" t="str">
            <v>AWFOSR1084</v>
          </cell>
          <cell r="C988" t="str">
            <v>CLASSIC LOW</v>
          </cell>
          <cell r="E988" t="str">
            <v>UPPER 1: 100% COW LEATHER, UPPER 2: 100% POLYESTER, LINING: 100% POLYESTER MESH, OUTSOLE:100% RUBBER</v>
          </cell>
          <cell r="F988" t="str">
            <v>VN</v>
          </cell>
          <cell r="H988">
            <v>90.5</v>
          </cell>
          <cell r="I988">
            <v>13</v>
          </cell>
          <cell r="J988">
            <v>1176.5</v>
          </cell>
          <cell r="K988" t="str">
            <v>64031900</v>
          </cell>
          <cell r="L988" t="str">
            <v>6403.19.00.00.00</v>
          </cell>
        </row>
        <row r="989">
          <cell r="B989" t="str">
            <v>AWFOSR1084</v>
          </cell>
          <cell r="C989" t="str">
            <v>CLASSIC LOW</v>
          </cell>
          <cell r="E989" t="str">
            <v>UPPER 1: 100% COW LEATHER, UPPER 2: 100% POLYESTER, LINING: 100% POLYESTER MESH, OUTSOLE:100% RUBBER</v>
          </cell>
          <cell r="F989" t="str">
            <v>VN</v>
          </cell>
          <cell r="H989">
            <v>93.86</v>
          </cell>
          <cell r="I989">
            <v>9</v>
          </cell>
          <cell r="J989">
            <v>844.74</v>
          </cell>
          <cell r="K989" t="str">
            <v>64031900</v>
          </cell>
          <cell r="L989" t="str">
            <v>6403.19.00.00.00</v>
          </cell>
        </row>
        <row r="990">
          <cell r="B990" t="str">
            <v>AWJYTE1034</v>
          </cell>
          <cell r="C990" t="str">
            <v>ARTS DISTRICT CROPPED TEE</v>
          </cell>
          <cell r="E990" t="str">
            <v>100%COTTON, RIB: 100% COTTON</v>
          </cell>
          <cell r="F990" t="str">
            <v>IT</v>
          </cell>
          <cell r="H990">
            <v>32.450000000000003</v>
          </cell>
          <cell r="I990">
            <v>15</v>
          </cell>
          <cell r="J990">
            <v>486.75000000000006</v>
          </cell>
          <cell r="K990" t="str">
            <v>61091000</v>
          </cell>
          <cell r="L990" t="str">
            <v>6109.10.00.00.00</v>
          </cell>
        </row>
        <row r="991">
          <cell r="B991" t="str">
            <v>AWJYTE1035</v>
          </cell>
          <cell r="C991" t="str">
            <v>AMIRI CORE LOGO TEE</v>
          </cell>
          <cell r="E991" t="str">
            <v>100%COTTON, RIB: 100% COTTON</v>
          </cell>
          <cell r="F991" t="str">
            <v>IT</v>
          </cell>
          <cell r="H991">
            <v>32.450000000000003</v>
          </cell>
          <cell r="I991">
            <v>40</v>
          </cell>
          <cell r="J991">
            <v>1298</v>
          </cell>
          <cell r="K991" t="str">
            <v>61091000</v>
          </cell>
          <cell r="L991" t="str">
            <v>6109.10.00.00.00</v>
          </cell>
        </row>
        <row r="992">
          <cell r="B992" t="str">
            <v>AWJYTE1036</v>
          </cell>
          <cell r="C992" t="str">
            <v>MA CORE LOGO TEE</v>
          </cell>
          <cell r="E992" t="str">
            <v>100%COTTON, RIB: 100% COTTON</v>
          </cell>
          <cell r="F992" t="str">
            <v>IT</v>
          </cell>
          <cell r="H992">
            <v>34.130000000000003</v>
          </cell>
          <cell r="I992">
            <v>40</v>
          </cell>
          <cell r="J992">
            <v>1365.2</v>
          </cell>
          <cell r="K992" t="str">
            <v>61091000</v>
          </cell>
          <cell r="L992" t="str">
            <v>6109.10.00.00.00</v>
          </cell>
        </row>
        <row r="993">
          <cell r="B993" t="str">
            <v>AWJYTE1055</v>
          </cell>
          <cell r="C993" t="str">
            <v>AMIRI CITY TEE</v>
          </cell>
          <cell r="E993" t="str">
            <v>100% COTTON</v>
          </cell>
          <cell r="F993" t="str">
            <v>IT</v>
          </cell>
          <cell r="H993">
            <v>33.08</v>
          </cell>
          <cell r="I993">
            <v>9</v>
          </cell>
          <cell r="J993">
            <v>297.71999999999997</v>
          </cell>
          <cell r="K993" t="str">
            <v>61091000</v>
          </cell>
          <cell r="L993" t="str">
            <v>6109.10.00.00.00</v>
          </cell>
        </row>
        <row r="994">
          <cell r="B994" t="str">
            <v>AWKNCW1014</v>
          </cell>
          <cell r="C994" t="str">
            <v>MA CREW</v>
          </cell>
          <cell r="E994" t="str">
            <v>100% WOOL</v>
          </cell>
          <cell r="F994" t="str">
            <v>IT</v>
          </cell>
          <cell r="H994">
            <v>128.1</v>
          </cell>
          <cell r="I994">
            <v>4</v>
          </cell>
          <cell r="J994">
            <v>512.4</v>
          </cell>
          <cell r="K994" t="str">
            <v>62114900</v>
          </cell>
          <cell r="L994" t="str">
            <v>6211.49.00.00.19</v>
          </cell>
        </row>
        <row r="995">
          <cell r="B995" t="str">
            <v>AWKNSP1007</v>
          </cell>
          <cell r="C995" t="str">
            <v>MA SWEATPANT</v>
          </cell>
          <cell r="E995" t="str">
            <v>100% WOOL</v>
          </cell>
          <cell r="F995" t="str">
            <v>IT</v>
          </cell>
          <cell r="H995">
            <v>147</v>
          </cell>
          <cell r="I995">
            <v>4</v>
          </cell>
          <cell r="J995">
            <v>588</v>
          </cell>
          <cell r="K995" t="str">
            <v>61046100</v>
          </cell>
          <cell r="L995" t="str">
            <v>6104.61.00.00.00</v>
          </cell>
        </row>
        <row r="996">
          <cell r="B996" t="str">
            <v>AWKNTE1012</v>
          </cell>
          <cell r="C996" t="str">
            <v>MA QUAD TEE</v>
          </cell>
          <cell r="E996" t="str">
            <v>100% WOOL</v>
          </cell>
          <cell r="F996" t="str">
            <v>IT</v>
          </cell>
          <cell r="H996">
            <v>121.8</v>
          </cell>
          <cell r="I996">
            <v>7</v>
          </cell>
          <cell r="J996">
            <v>852.6</v>
          </cell>
          <cell r="K996" t="str">
            <v>62114900</v>
          </cell>
          <cell r="L996" t="str">
            <v>6211.49.00.00.19</v>
          </cell>
        </row>
        <row r="997">
          <cell r="B997" t="str">
            <v>AWOUDW1001</v>
          </cell>
          <cell r="C997" t="str">
            <v>MA QUAD CROPPED DOWN JACKET</v>
          </cell>
          <cell r="E997" t="str">
            <v>100% POLYESTER</v>
          </cell>
          <cell r="F997" t="str">
            <v>RO</v>
          </cell>
          <cell r="H997">
            <v>230.37</v>
          </cell>
          <cell r="I997">
            <v>2</v>
          </cell>
          <cell r="J997">
            <v>460.74</v>
          </cell>
          <cell r="K997" t="str">
            <v>61023090</v>
          </cell>
          <cell r="L997" t="str">
            <v>6102.30.90.00.00</v>
          </cell>
        </row>
        <row r="998">
          <cell r="B998" t="str">
            <v>AWPACA1014</v>
          </cell>
          <cell r="C998" t="str">
            <v>MA QUAD PJ PANT</v>
          </cell>
          <cell r="E998" t="str">
            <v>100% SILK</v>
          </cell>
          <cell r="F998" t="str">
            <v>IT</v>
          </cell>
          <cell r="H998">
            <v>165.9</v>
          </cell>
          <cell r="I998">
            <v>4</v>
          </cell>
          <cell r="J998">
            <v>663.6</v>
          </cell>
          <cell r="K998" t="str">
            <v>61046900</v>
          </cell>
          <cell r="L998" t="str">
            <v>6104.69.00.00.11</v>
          </cell>
        </row>
        <row r="999">
          <cell r="B999" t="str">
            <v>AWSHCA1021</v>
          </cell>
          <cell r="C999" t="str">
            <v>MA QUAD BOXER SHORT</v>
          </cell>
          <cell r="E999" t="str">
            <v>100% SILK</v>
          </cell>
          <cell r="F999" t="str">
            <v>IT</v>
          </cell>
          <cell r="H999">
            <v>107.65</v>
          </cell>
          <cell r="I999">
            <v>3</v>
          </cell>
          <cell r="J999">
            <v>322.95000000000005</v>
          </cell>
          <cell r="K999" t="str">
            <v>62046990</v>
          </cell>
          <cell r="L999" t="str">
            <v>6204.69.90.00.00</v>
          </cell>
        </row>
        <row r="1000">
          <cell r="B1000" t="str">
            <v>AWSTCA1024</v>
          </cell>
          <cell r="C1000" t="str">
            <v>MA QUAD SHIRT</v>
          </cell>
          <cell r="E1000" t="str">
            <v>100% SILK</v>
          </cell>
          <cell r="F1000" t="str">
            <v>IT</v>
          </cell>
          <cell r="H1000">
            <v>128.84</v>
          </cell>
          <cell r="I1000">
            <v>4</v>
          </cell>
          <cell r="J1000">
            <v>515.36</v>
          </cell>
          <cell r="K1000" t="str">
            <v>62061000</v>
          </cell>
          <cell r="L1000" t="str">
            <v>6206.10.00.00.00</v>
          </cell>
        </row>
        <row r="1001">
          <cell r="B1001" t="str">
            <v>AWSTCA1025</v>
          </cell>
          <cell r="C1001" t="str">
            <v>MA QUAD PJ SHIRT</v>
          </cell>
          <cell r="E1001" t="str">
            <v>100% SILK</v>
          </cell>
          <cell r="F1001" t="str">
            <v>IT</v>
          </cell>
          <cell r="H1001">
            <v>182.7</v>
          </cell>
          <cell r="I1001">
            <v>3</v>
          </cell>
          <cell r="J1001">
            <v>548.09999999999991</v>
          </cell>
          <cell r="K1001" t="str">
            <v>62061000</v>
          </cell>
          <cell r="L1001" t="str">
            <v>6206.10.00.00.00</v>
          </cell>
        </row>
        <row r="1002">
          <cell r="B1002" t="str">
            <v>AWTPLS1002</v>
          </cell>
          <cell r="C1002" t="str">
            <v>MA QUAD LACE TOP</v>
          </cell>
          <cell r="E1002" t="str">
            <v>92% POLYAMIDE 8% ELASTANE</v>
          </cell>
          <cell r="F1002" t="str">
            <v>IT</v>
          </cell>
          <cell r="H1002">
            <v>77.599999999999994</v>
          </cell>
          <cell r="I1002">
            <v>3</v>
          </cell>
          <cell r="J1002">
            <v>232.79999999999998</v>
          </cell>
          <cell r="K1002" t="str">
            <v>61061000</v>
          </cell>
          <cell r="L1002" t="str">
            <v>6106.10.00.00.00</v>
          </cell>
        </row>
        <row r="1003">
          <cell r="B1003" t="str">
            <v>W6472RG</v>
          </cell>
          <cell r="C1003" t="str">
            <v>Women's Shorts</v>
          </cell>
          <cell r="D1003" t="str">
            <v>Black</v>
          </cell>
          <cell r="E1003" t="str">
            <v>BODY:65%POLYESTER 35%COTTO...</v>
          </cell>
          <cell r="F1003" t="str">
            <v>VN</v>
          </cell>
          <cell r="H1003">
            <v>8.81</v>
          </cell>
          <cell r="I1003">
            <v>24</v>
          </cell>
          <cell r="J1003">
            <v>211.44</v>
          </cell>
          <cell r="K1003" t="str">
            <v>6104.62.2030</v>
          </cell>
          <cell r="L1003" t="str">
            <v>6104.63.00.00.00</v>
          </cell>
        </row>
        <row r="1004">
          <cell r="B1004" t="str">
            <v>W6472RG</v>
          </cell>
          <cell r="C1004" t="str">
            <v>Women's Shorts</v>
          </cell>
          <cell r="D1004" t="str">
            <v>Athletic Heather Grey</v>
          </cell>
          <cell r="E1004" t="str">
            <v>BODY:65%POLYESTER 35%COTTO...</v>
          </cell>
          <cell r="F1004" t="str">
            <v>VN</v>
          </cell>
          <cell r="H1004">
            <v>9.61</v>
          </cell>
          <cell r="I1004">
            <v>24</v>
          </cell>
          <cell r="J1004">
            <v>230.64</v>
          </cell>
          <cell r="K1004" t="str">
            <v>6104.62.2030</v>
          </cell>
          <cell r="L1004" t="str">
            <v>6104.63.00.00.00</v>
          </cell>
        </row>
        <row r="1005">
          <cell r="B1005" t="str">
            <v>W6472RG</v>
          </cell>
          <cell r="C1005" t="str">
            <v>Women's Shorts</v>
          </cell>
          <cell r="D1005" t="str">
            <v>Bold Red</v>
          </cell>
          <cell r="E1005" t="str">
            <v>65%COTTON 35%POLYESTER&gt;EXC...</v>
          </cell>
          <cell r="F1005" t="str">
            <v>VN</v>
          </cell>
          <cell r="H1005">
            <v>9.6300000000000008</v>
          </cell>
          <cell r="I1005">
            <v>14</v>
          </cell>
          <cell r="J1005">
            <v>134.82000000000002</v>
          </cell>
          <cell r="K1005" t="str">
            <v>6104.62.2030</v>
          </cell>
          <cell r="L1005" t="str">
            <v>6104.62.00.00.00</v>
          </cell>
        </row>
        <row r="1006">
          <cell r="B1006" t="str">
            <v>W6472RG</v>
          </cell>
          <cell r="C1006" t="str">
            <v>Women's Shorts</v>
          </cell>
          <cell r="D1006" t="str">
            <v>Sweet Pink</v>
          </cell>
          <cell r="E1006" t="str">
            <v>65%COTTON 35%POLYESTER&gt;EXC...</v>
          </cell>
          <cell r="F1006" t="str">
            <v>VN</v>
          </cell>
          <cell r="H1006">
            <v>9.93</v>
          </cell>
          <cell r="I1006">
            <v>14</v>
          </cell>
          <cell r="J1006">
            <v>139.01999999999998</v>
          </cell>
          <cell r="K1006" t="str">
            <v>6104.62.2030</v>
          </cell>
          <cell r="L1006" t="str">
            <v>6104.62.00.00.00</v>
          </cell>
        </row>
        <row r="1007">
          <cell r="B1007" t="str">
            <v>A0158U</v>
          </cell>
          <cell r="C1007" t="str">
            <v>Accessory - Bags</v>
          </cell>
          <cell r="D1007" t="str">
            <v>Black</v>
          </cell>
          <cell r="E1007" t="str">
            <v>SHELL: 100%NYLON&gt;LINING: 100%...</v>
          </cell>
          <cell r="F1007" t="str">
            <v>CN</v>
          </cell>
          <cell r="H1007">
            <v>16.77</v>
          </cell>
          <cell r="I1007">
            <v>32</v>
          </cell>
          <cell r="J1007">
            <v>536.64</v>
          </cell>
          <cell r="K1007" t="str">
            <v>4202.92.3131</v>
          </cell>
          <cell r="L1007" t="str">
            <v>4202.92.98.90.00</v>
          </cell>
        </row>
        <row r="1008">
          <cell r="B1008" t="str">
            <v>A0607U</v>
          </cell>
          <cell r="C1008" t="str">
            <v>Accessory - Bags</v>
          </cell>
          <cell r="D1008" t="str">
            <v>White</v>
          </cell>
          <cell r="E1008" t="str">
            <v>BODY: 100%NYLON&gt;CONTRAST: 1...</v>
          </cell>
          <cell r="F1008" t="str">
            <v>CN</v>
          </cell>
          <cell r="H1008">
            <v>20.74</v>
          </cell>
          <cell r="I1008">
            <v>35</v>
          </cell>
          <cell r="J1008">
            <v>725.9</v>
          </cell>
          <cell r="K1008" t="str">
            <v>4202.92.3131</v>
          </cell>
          <cell r="L1008" t="str">
            <v>4202.92.98.90.00</v>
          </cell>
        </row>
        <row r="1009">
          <cell r="B1009" t="str">
            <v>A0607U</v>
          </cell>
          <cell r="C1009" t="str">
            <v>Accessory - Bags</v>
          </cell>
          <cell r="D1009" t="str">
            <v>Black</v>
          </cell>
          <cell r="E1009" t="str">
            <v>BODY: 100%NYLON&gt;CONTRAST: 1...</v>
          </cell>
          <cell r="F1009" t="str">
            <v>CN</v>
          </cell>
          <cell r="H1009">
            <v>20.74</v>
          </cell>
          <cell r="I1009">
            <v>50</v>
          </cell>
          <cell r="J1009">
            <v>1037</v>
          </cell>
          <cell r="K1009" t="str">
            <v>4202.92.3131</v>
          </cell>
          <cell r="L1009" t="str">
            <v>4202.92.98.90.00</v>
          </cell>
        </row>
        <row r="1010">
          <cell r="B1010" t="str">
            <v>A0613U</v>
          </cell>
          <cell r="C1010" t="str">
            <v>Accessory - Bags</v>
          </cell>
          <cell r="D1010" t="str">
            <v>White</v>
          </cell>
          <cell r="E1010" t="str">
            <v>BODY: 100%NYLON&gt;STRAP: 100%P...</v>
          </cell>
          <cell r="F1010" t="str">
            <v>CN</v>
          </cell>
          <cell r="H1010">
            <v>11.37</v>
          </cell>
          <cell r="I1010">
            <v>45</v>
          </cell>
          <cell r="J1010">
            <v>511.65</v>
          </cell>
          <cell r="K1010" t="str">
            <v>4202.92.3131</v>
          </cell>
          <cell r="L1010" t="str">
            <v>4202.92.98.90.00</v>
          </cell>
        </row>
        <row r="1011">
          <cell r="B1011" t="str">
            <v>A0613U</v>
          </cell>
          <cell r="C1011" t="str">
            <v>Accessory - Bags</v>
          </cell>
          <cell r="D1011" t="str">
            <v>Black</v>
          </cell>
          <cell r="E1011" t="str">
            <v>BODY: 100%NYLON&gt;STRAP: 100%P...</v>
          </cell>
          <cell r="F1011" t="str">
            <v>CN</v>
          </cell>
          <cell r="H1011">
            <v>11.37</v>
          </cell>
          <cell r="I1011">
            <v>65</v>
          </cell>
          <cell r="J1011">
            <v>739.05</v>
          </cell>
          <cell r="K1011" t="str">
            <v>4202.92.3131</v>
          </cell>
          <cell r="L1011" t="str">
            <v>4202.92.98.90.00</v>
          </cell>
        </row>
        <row r="1012">
          <cell r="B1012" t="str">
            <v>A0614U</v>
          </cell>
          <cell r="C1012" t="str">
            <v>Accessory - Bags</v>
          </cell>
          <cell r="D1012" t="str">
            <v>White</v>
          </cell>
          <cell r="E1012" t="str">
            <v>100% NYLON</v>
          </cell>
          <cell r="F1012" t="str">
            <v>CN</v>
          </cell>
          <cell r="H1012">
            <v>12.07</v>
          </cell>
          <cell r="I1012">
            <v>39</v>
          </cell>
          <cell r="J1012">
            <v>470.73</v>
          </cell>
          <cell r="K1012" t="str">
            <v>4202.92.3131</v>
          </cell>
          <cell r="L1012" t="str">
            <v>4202.92.98.90.00</v>
          </cell>
        </row>
        <row r="1013">
          <cell r="B1013" t="str">
            <v>A0614U</v>
          </cell>
          <cell r="C1013" t="str">
            <v>Accessory - Bags</v>
          </cell>
          <cell r="D1013" t="str">
            <v>Black</v>
          </cell>
          <cell r="E1013" t="str">
            <v>100% NYLON</v>
          </cell>
          <cell r="F1013" t="str">
            <v>CN</v>
          </cell>
          <cell r="H1013">
            <v>12.07</v>
          </cell>
          <cell r="I1013">
            <v>50</v>
          </cell>
          <cell r="J1013">
            <v>603.5</v>
          </cell>
          <cell r="K1013" t="str">
            <v>4202.92.3131</v>
          </cell>
          <cell r="L1013" t="str">
            <v>4202.92.98.90.00</v>
          </cell>
        </row>
        <row r="1014">
          <cell r="B1014" t="str">
            <v>A0616U</v>
          </cell>
          <cell r="C1014" t="str">
            <v>Accessory - Bags</v>
          </cell>
          <cell r="D1014" t="str">
            <v>Black</v>
          </cell>
          <cell r="E1014" t="str">
            <v>SHELL: 100%NYLON&gt;LINING: 100%...</v>
          </cell>
          <cell r="F1014" t="str">
            <v>CN</v>
          </cell>
          <cell r="H1014">
            <v>15.48</v>
          </cell>
          <cell r="I1014">
            <v>65</v>
          </cell>
          <cell r="J1014">
            <v>1006.2</v>
          </cell>
          <cell r="K1014" t="str">
            <v>4202.92.3131</v>
          </cell>
          <cell r="L1014" t="str">
            <v>4202.92.98.90.00</v>
          </cell>
        </row>
        <row r="1015">
          <cell r="B1015" t="str">
            <v>A0616U</v>
          </cell>
          <cell r="C1015" t="str">
            <v>Accessory - Bags</v>
          </cell>
          <cell r="D1015" t="str">
            <v>Bone</v>
          </cell>
          <cell r="E1015" t="str">
            <v>SHELL: 100%NYLON&gt;LINING: 100%...</v>
          </cell>
          <cell r="F1015" t="str">
            <v>CN</v>
          </cell>
          <cell r="H1015">
            <v>15.48</v>
          </cell>
          <cell r="I1015">
            <v>40</v>
          </cell>
          <cell r="J1015">
            <v>619.20000000000005</v>
          </cell>
          <cell r="K1015" t="str">
            <v>4202.92.3131</v>
          </cell>
          <cell r="L1015" t="str">
            <v>4202.92.98.90.00</v>
          </cell>
        </row>
        <row r="1016">
          <cell r="B1016" t="str">
            <v>W5766R</v>
          </cell>
          <cell r="C1016" t="str">
            <v>Women's 7/8 Leggings</v>
          </cell>
          <cell r="D1016" t="str">
            <v>Navy</v>
          </cell>
          <cell r="E1016" t="str">
            <v>77%POLYESTER 23%ELASTANE</v>
          </cell>
          <cell r="F1016" t="str">
            <v>VN</v>
          </cell>
          <cell r="H1016">
            <v>10.57</v>
          </cell>
          <cell r="I1016">
            <v>251</v>
          </cell>
          <cell r="J1016">
            <v>2653.07</v>
          </cell>
          <cell r="K1016" t="str">
            <v>6104.63.2006</v>
          </cell>
          <cell r="L1016" t="str">
            <v>6115.22.00.00.00</v>
          </cell>
        </row>
        <row r="1017">
          <cell r="B1017" t="str">
            <v>M4161R</v>
          </cell>
          <cell r="C1017" t="str">
            <v>Men's Outerwear</v>
          </cell>
          <cell r="D1017" t="str">
            <v>Black</v>
          </cell>
          <cell r="E1017" t="str">
            <v>SHELL: 100%NYLON&gt;LINING: 100%...</v>
          </cell>
          <cell r="F1017" t="str">
            <v>CN</v>
          </cell>
          <cell r="H1017">
            <v>33.92</v>
          </cell>
          <cell r="I1017">
            <v>41</v>
          </cell>
          <cell r="J1017">
            <v>1390.72</v>
          </cell>
          <cell r="K1017" t="str">
            <v>6210.20.3000</v>
          </cell>
          <cell r="L1017" t="str">
            <v>6210.20.00.00.00</v>
          </cell>
        </row>
        <row r="1018">
          <cell r="B1018" t="str">
            <v>M4161R</v>
          </cell>
          <cell r="C1018" t="str">
            <v>Men's Outerwear</v>
          </cell>
          <cell r="D1018" t="str">
            <v>Navy</v>
          </cell>
          <cell r="E1018" t="str">
            <v>SHELL: 100%NYLON&gt;LINING: 100%...</v>
          </cell>
          <cell r="F1018" t="str">
            <v>CN</v>
          </cell>
          <cell r="H1018">
            <v>33.92</v>
          </cell>
          <cell r="I1018">
            <v>35</v>
          </cell>
          <cell r="J1018">
            <v>1187.2</v>
          </cell>
          <cell r="K1018" t="str">
            <v>6210.20.3000</v>
          </cell>
          <cell r="L1018" t="str">
            <v>6210.20.00.00.00</v>
          </cell>
        </row>
        <row r="1019">
          <cell r="B1019" t="str">
            <v>M4161R</v>
          </cell>
          <cell r="C1019" t="str">
            <v>Men's Outerwear</v>
          </cell>
          <cell r="D1019" t="str">
            <v>Steel Grey</v>
          </cell>
          <cell r="E1019" t="str">
            <v>SHELL: 100%NYLON&gt;LINING: 100%...</v>
          </cell>
          <cell r="F1019" t="str">
            <v>CN</v>
          </cell>
          <cell r="H1019">
            <v>33.92</v>
          </cell>
          <cell r="I1019">
            <v>41</v>
          </cell>
          <cell r="J1019">
            <v>1390.72</v>
          </cell>
          <cell r="K1019" t="str">
            <v>6210.20.3000</v>
          </cell>
          <cell r="L1019" t="str">
            <v>6210.20.00.00.00</v>
          </cell>
        </row>
        <row r="1020">
          <cell r="B1020" t="str">
            <v>A0685U</v>
          </cell>
          <cell r="C1020" t="str">
            <v>Footwear - Recovery</v>
          </cell>
          <cell r="D1020" t="str">
            <v>Black/White</v>
          </cell>
          <cell r="E1020" t="str">
            <v>UPPER: SYNTHETIC TEXTILE&gt;LININ...</v>
          </cell>
          <cell r="F1020" t="str">
            <v>VN</v>
          </cell>
          <cell r="H1020">
            <v>25.6</v>
          </cell>
          <cell r="I1020">
            <v>216</v>
          </cell>
          <cell r="J1020">
            <v>5529.6</v>
          </cell>
          <cell r="K1020" t="str">
            <v>6402.99.9005</v>
          </cell>
          <cell r="L1020" t="str">
            <v>6402.99.93.00.00</v>
          </cell>
        </row>
        <row r="1021">
          <cell r="B1021" t="str">
            <v>A0685U</v>
          </cell>
          <cell r="C1021" t="str">
            <v>Footwear - Recovery</v>
          </cell>
          <cell r="D1021" t="str">
            <v>Gravel/White</v>
          </cell>
          <cell r="E1021" t="str">
            <v>UPPER: SYNTHETIC TEXTILE&gt;LININ...</v>
          </cell>
          <cell r="F1021" t="str">
            <v>VN</v>
          </cell>
          <cell r="H1021">
            <v>25.6</v>
          </cell>
          <cell r="I1021">
            <v>180</v>
          </cell>
          <cell r="J1021">
            <v>4608</v>
          </cell>
          <cell r="K1021" t="str">
            <v>6402.99.9005</v>
          </cell>
          <cell r="L1021" t="str">
            <v>6402.99.93.00.00</v>
          </cell>
        </row>
        <row r="1022">
          <cell r="B1022" t="str">
            <v>A0685U</v>
          </cell>
          <cell r="C1022" t="str">
            <v>Footwear - Recovery</v>
          </cell>
          <cell r="D1022" t="str">
            <v>Clay</v>
          </cell>
          <cell r="E1022" t="str">
            <v>UPPER: SYNTHETIC TEXTILE&gt;LININ...</v>
          </cell>
          <cell r="F1022" t="str">
            <v>VN</v>
          </cell>
          <cell r="H1022">
            <v>25.6</v>
          </cell>
          <cell r="I1022">
            <v>150</v>
          </cell>
          <cell r="J1022">
            <v>3840</v>
          </cell>
          <cell r="K1022" t="str">
            <v>6402.99.9005</v>
          </cell>
          <cell r="L1022" t="str">
            <v>6402.99.93.00.00</v>
          </cell>
        </row>
        <row r="1023">
          <cell r="B1023" t="str">
            <v xml:space="preserve">MI-38706H00AS/NAT </v>
          </cell>
          <cell r="C1023" t="str">
            <v>MENS TOP WOODEN HANGERS</v>
          </cell>
          <cell r="E1023" t="str">
            <v>Schima Wallichii</v>
          </cell>
          <cell r="F1023" t="str">
            <v>CN</v>
          </cell>
          <cell r="H1023">
            <v>12</v>
          </cell>
          <cell r="I1023">
            <v>75</v>
          </cell>
          <cell r="J1023">
            <v>900</v>
          </cell>
          <cell r="K1023">
            <v>4421100090</v>
          </cell>
          <cell r="L1023" t="str">
            <v>4421.10.00.00.00</v>
          </cell>
        </row>
        <row r="1024">
          <cell r="B1024" t="str">
            <v xml:space="preserve">AMI-38706H01AS/NAT </v>
          </cell>
          <cell r="C1024" t="str">
            <v>MENS BOTTOMS WOODEN HANGERS</v>
          </cell>
          <cell r="E1024" t="str">
            <v>Schima Wallichii</v>
          </cell>
          <cell r="F1024" t="str">
            <v>CN</v>
          </cell>
          <cell r="H1024">
            <v>12</v>
          </cell>
          <cell r="I1024">
            <v>50</v>
          </cell>
          <cell r="J1024">
            <v>600</v>
          </cell>
          <cell r="K1024">
            <v>4421100090</v>
          </cell>
          <cell r="L1024" t="str">
            <v>4421.10.00.00.00</v>
          </cell>
        </row>
        <row r="1025">
          <cell r="B1025" t="str">
            <v>A0326U</v>
          </cell>
          <cell r="C1025" t="str">
            <v>Accessory - Yoga Equipment</v>
          </cell>
          <cell r="D1025" t="str">
            <v>Black/Anthracite</v>
          </cell>
          <cell r="E1025" t="str">
            <v>100%NYLON</v>
          </cell>
          <cell r="F1025" t="str">
            <v>CN</v>
          </cell>
          <cell r="H1025">
            <v>4.72</v>
          </cell>
          <cell r="I1025">
            <v>12</v>
          </cell>
          <cell r="J1025">
            <v>56.64</v>
          </cell>
          <cell r="K1025" t="str">
            <v>9506.91.0030</v>
          </cell>
          <cell r="L1025" t="str">
            <v>9506.91.90.00.00</v>
          </cell>
        </row>
        <row r="1026">
          <cell r="B1026" t="str">
            <v>A0326U</v>
          </cell>
          <cell r="C1026" t="str">
            <v>Accessory - Yoga Equipment</v>
          </cell>
          <cell r="D1026" t="str">
            <v>Jungle</v>
          </cell>
          <cell r="E1026" t="str">
            <v>100%NYLON</v>
          </cell>
          <cell r="F1026" t="str">
            <v>CN</v>
          </cell>
          <cell r="H1026">
            <v>4.72</v>
          </cell>
          <cell r="I1026">
            <v>5</v>
          </cell>
          <cell r="J1026">
            <v>23.599999999999998</v>
          </cell>
          <cell r="K1026" t="str">
            <v>9506.91.0030</v>
          </cell>
          <cell r="L1026" t="str">
            <v>9506.91.90.00.00</v>
          </cell>
        </row>
        <row r="1027">
          <cell r="B1027" t="str">
            <v>A0326U</v>
          </cell>
          <cell r="C1027" t="str">
            <v>Accessory - Yoga Equipment</v>
          </cell>
          <cell r="D1027" t="str">
            <v>Smoky Quartz</v>
          </cell>
          <cell r="E1027" t="str">
            <v>100%NYLON</v>
          </cell>
          <cell r="F1027" t="str">
            <v>CN</v>
          </cell>
          <cell r="H1027">
            <v>4.72</v>
          </cell>
          <cell r="I1027">
            <v>12</v>
          </cell>
          <cell r="J1027">
            <v>56.64</v>
          </cell>
          <cell r="K1027" t="str">
            <v>9506.91.0030</v>
          </cell>
          <cell r="L1027" t="str">
            <v>9506.91.90.00.00</v>
          </cell>
        </row>
        <row r="1028">
          <cell r="B1028" t="str">
            <v>A0714U</v>
          </cell>
          <cell r="C1028" t="str">
            <v>Accessory - Socks</v>
          </cell>
          <cell r="D1028" t="str">
            <v>Black/Titanium</v>
          </cell>
          <cell r="E1028" t="str">
            <v>73%POLYESTER 23%NYLON 4%ELASTANE</v>
          </cell>
          <cell r="F1028" t="str">
            <v>CN</v>
          </cell>
          <cell r="H1028">
            <v>2.58</v>
          </cell>
          <cell r="I1028">
            <v>42</v>
          </cell>
          <cell r="J1028">
            <v>108.36</v>
          </cell>
          <cell r="K1028" t="str">
            <v>6115.96.9020</v>
          </cell>
          <cell r="L1028" t="str">
            <v>6115.96.91.00.00</v>
          </cell>
        </row>
        <row r="1029">
          <cell r="B1029" t="str">
            <v>A0714U</v>
          </cell>
          <cell r="C1029" t="str">
            <v>Accessory - Socks</v>
          </cell>
          <cell r="D1029" t="str">
            <v>White/Titanium</v>
          </cell>
          <cell r="E1029" t="str">
            <v>73%POLYESTER 23%NYLON 4%ELASTANE</v>
          </cell>
          <cell r="F1029" t="str">
            <v>CN</v>
          </cell>
          <cell r="H1029">
            <v>2.58</v>
          </cell>
          <cell r="I1029">
            <v>42</v>
          </cell>
          <cell r="J1029">
            <v>108.36</v>
          </cell>
          <cell r="K1029" t="str">
            <v>6115.96.9020</v>
          </cell>
          <cell r="L1029" t="str">
            <v>6115.96.91.00.00</v>
          </cell>
        </row>
        <row r="1030">
          <cell r="B1030" t="str">
            <v>A0290U</v>
          </cell>
          <cell r="C1030" t="str">
            <v>Accessory - Hair Management</v>
          </cell>
          <cell r="D1030" t="str">
            <v>Black/White</v>
          </cell>
          <cell r="E1030" t="str">
            <v>92%POLYESTER 8%ELASTANE&gt;EXCLUSIVE OF TRIMMING</v>
          </cell>
          <cell r="F1030" t="str">
            <v>VN</v>
          </cell>
          <cell r="H1030">
            <v>4.79</v>
          </cell>
          <cell r="I1030">
            <v>30</v>
          </cell>
          <cell r="J1030">
            <v>143.69999999999999</v>
          </cell>
          <cell r="K1030" t="str">
            <v>6117.80.8500</v>
          </cell>
          <cell r="L1030" t="str">
            <v>6117.80.80.00.00</v>
          </cell>
        </row>
        <row r="1031">
          <cell r="B1031" t="str">
            <v>A0290U</v>
          </cell>
          <cell r="C1031" t="str">
            <v>Accessory - Hair Management</v>
          </cell>
          <cell r="D1031" t="str">
            <v>Bold Red/Sweet Pink/White</v>
          </cell>
          <cell r="E1031" t="str">
            <v>92%POLYESTER 8%ELASTANE&gt;EXCLUSIVE OF TRIMMING</v>
          </cell>
          <cell r="F1031" t="str">
            <v>VN</v>
          </cell>
          <cell r="H1031">
            <v>4.79</v>
          </cell>
          <cell r="I1031">
            <v>18</v>
          </cell>
          <cell r="J1031">
            <v>86.22</v>
          </cell>
          <cell r="K1031" t="str">
            <v>6117.80.8500</v>
          </cell>
          <cell r="L1031" t="str">
            <v>6117.80.80.00.00</v>
          </cell>
        </row>
        <row r="1032">
          <cell r="B1032" t="str">
            <v>A0290U</v>
          </cell>
          <cell r="C1032" t="str">
            <v>Accessory - Hair Management</v>
          </cell>
          <cell r="D1032" t="str">
            <v>Celestial Blue/Winter Ivy/Iv</v>
          </cell>
          <cell r="E1032" t="str">
            <v>92%POLYESTER 8%ELASTANE&gt;EXCLUSIVE OF TRIMMING</v>
          </cell>
          <cell r="F1032" t="str">
            <v>VN</v>
          </cell>
          <cell r="H1032">
            <v>4.79</v>
          </cell>
          <cell r="I1032">
            <v>15</v>
          </cell>
          <cell r="J1032">
            <v>71.849999999999994</v>
          </cell>
          <cell r="K1032" t="str">
            <v>6117.80.8500</v>
          </cell>
          <cell r="L1032" t="str">
            <v>6117.80.80.00.00</v>
          </cell>
        </row>
        <row r="1033">
          <cell r="B1033" t="str">
            <v>A0518U</v>
          </cell>
          <cell r="C1033" t="str">
            <v>Accessory - Hair Management</v>
          </cell>
          <cell r="D1033" t="str">
            <v>Black</v>
          </cell>
          <cell r="E1033" t="str">
            <v>94%POLYESTER 6%ELASTANE</v>
          </cell>
          <cell r="F1033" t="str">
            <v>VN</v>
          </cell>
          <cell r="H1033">
            <v>2.14</v>
          </cell>
          <cell r="I1033">
            <v>30</v>
          </cell>
          <cell r="J1033">
            <v>64.2</v>
          </cell>
          <cell r="K1033" t="str">
            <v>6117.80.8500</v>
          </cell>
          <cell r="L1033" t="str">
            <v>6117.80.80.00.00</v>
          </cell>
        </row>
        <row r="1034">
          <cell r="B1034" t="str">
            <v>A0518U</v>
          </cell>
          <cell r="C1034" t="str">
            <v>Accessory - Hair Management</v>
          </cell>
          <cell r="D1034" t="str">
            <v>Steel Grey</v>
          </cell>
          <cell r="E1034" t="str">
            <v>94%POLYESTER 6%ELASTANE</v>
          </cell>
          <cell r="F1034" t="str">
            <v>VN</v>
          </cell>
          <cell r="H1034">
            <v>2.14</v>
          </cell>
          <cell r="I1034">
            <v>24</v>
          </cell>
          <cell r="J1034">
            <v>51.36</v>
          </cell>
          <cell r="K1034" t="str">
            <v>6117.80.8500</v>
          </cell>
          <cell r="L1034" t="str">
            <v>6117.80.80.00.00</v>
          </cell>
        </row>
        <row r="1035">
          <cell r="B1035" t="str">
            <v>A0690U</v>
          </cell>
          <cell r="C1035" t="str">
            <v>Accessory - Socks</v>
          </cell>
          <cell r="D1035" t="str">
            <v>Black</v>
          </cell>
          <cell r="E1035" t="str">
            <v>80%COTTON 9%POLYESTER 9%NYLON 2%ELASTANE&gt;EXCLUSIVE OF TRIMMING</v>
          </cell>
          <cell r="F1035" t="str">
            <v>TR</v>
          </cell>
          <cell r="H1035">
            <v>2.96</v>
          </cell>
          <cell r="I1035">
            <v>150</v>
          </cell>
          <cell r="J1035">
            <v>444</v>
          </cell>
          <cell r="K1035" t="str">
            <v>6115.95.9000</v>
          </cell>
          <cell r="L1035" t="str">
            <v>6115.95.00.00.00</v>
          </cell>
        </row>
        <row r="1036">
          <cell r="B1036" t="str">
            <v>A0690U</v>
          </cell>
          <cell r="C1036" t="str">
            <v>Accessory - Socks</v>
          </cell>
          <cell r="D1036" t="str">
            <v>White</v>
          </cell>
          <cell r="E1036" t="str">
            <v>80%COTTON 9%POLYESTER 9%NYLON 2%ELASTANE&gt;EXCLUSIVE OF TRIMMING</v>
          </cell>
          <cell r="F1036" t="str">
            <v>TR</v>
          </cell>
          <cell r="H1036">
            <v>2.96</v>
          </cell>
          <cell r="I1036">
            <v>180</v>
          </cell>
          <cell r="J1036">
            <v>532.79999999999995</v>
          </cell>
          <cell r="K1036" t="str">
            <v>6115.95.9000</v>
          </cell>
          <cell r="L1036" t="str">
            <v>6115.95.00.00.00</v>
          </cell>
        </row>
        <row r="1037">
          <cell r="B1037" t="str">
            <v>A0692U</v>
          </cell>
          <cell r="C1037" t="str">
            <v>Accessory - Socks</v>
          </cell>
          <cell r="D1037" t="str">
            <v>Black/White</v>
          </cell>
          <cell r="E1037" t="str">
            <v>88%COTTON 9%NYLON 2%POLYESTER 1%ELASTANE</v>
          </cell>
          <cell r="F1037" t="str">
            <v>TR</v>
          </cell>
          <cell r="H1037">
            <v>2.4500000000000002</v>
          </cell>
          <cell r="I1037">
            <v>42</v>
          </cell>
          <cell r="J1037">
            <v>102.9</v>
          </cell>
          <cell r="K1037" t="str">
            <v>6115.95.9000</v>
          </cell>
          <cell r="L1037" t="str">
            <v>6115.95.00.00.00</v>
          </cell>
        </row>
        <row r="1038">
          <cell r="B1038" t="str">
            <v>A0692U</v>
          </cell>
          <cell r="C1038" t="str">
            <v>Accessory - Socks</v>
          </cell>
          <cell r="D1038" t="str">
            <v>White/Black</v>
          </cell>
          <cell r="E1038" t="str">
            <v>88%COTTON 9%NYLON 2%POLYESTER 1%ELASTANE</v>
          </cell>
          <cell r="F1038" t="str">
            <v>TR</v>
          </cell>
          <cell r="H1038">
            <v>2.4500000000000002</v>
          </cell>
          <cell r="I1038">
            <v>42</v>
          </cell>
          <cell r="J1038">
            <v>102.9</v>
          </cell>
          <cell r="K1038" t="str">
            <v>6115.95.9000</v>
          </cell>
          <cell r="L1038" t="str">
            <v>6115.95.00.00.00</v>
          </cell>
        </row>
        <row r="1039">
          <cell r="B1039" t="str">
            <v>A0263W</v>
          </cell>
          <cell r="C1039" t="str">
            <v>Accessory - Socks</v>
          </cell>
          <cell r="D1039" t="str">
            <v>Black/White</v>
          </cell>
          <cell r="E1039" t="str">
            <v>70%COTTON 26%NYLON 2%POLYESTER 2%LYCRA®ELASTANE&gt;SILICONE GRIPS</v>
          </cell>
          <cell r="F1039" t="str">
            <v>TW</v>
          </cell>
          <cell r="H1039">
            <v>2.97</v>
          </cell>
          <cell r="I1039">
            <v>60</v>
          </cell>
          <cell r="J1039">
            <v>178.20000000000002</v>
          </cell>
          <cell r="K1039" t="str">
            <v>6115.95.9000</v>
          </cell>
          <cell r="L1039" t="str">
            <v>6115.95.00.00.00</v>
          </cell>
        </row>
        <row r="1040">
          <cell r="B1040" t="str">
            <v>A0263W</v>
          </cell>
          <cell r="C1040" t="str">
            <v>Accessory - Socks</v>
          </cell>
          <cell r="D1040" t="str">
            <v>White/Black</v>
          </cell>
          <cell r="E1040" t="str">
            <v>70%COTTON 26%NYLON 2%POLYESTER 2%LYCRA®ELASTANE&gt;SILICONE GRIPS</v>
          </cell>
          <cell r="F1040" t="str">
            <v>TW</v>
          </cell>
          <cell r="H1040">
            <v>2.97</v>
          </cell>
          <cell r="I1040">
            <v>60</v>
          </cell>
          <cell r="J1040">
            <v>178.20000000000002</v>
          </cell>
          <cell r="K1040" t="str">
            <v>6115.95.9000</v>
          </cell>
          <cell r="L1040" t="str">
            <v>6115.95.00.00.00</v>
          </cell>
        </row>
        <row r="1041">
          <cell r="B1041" t="str">
            <v>A0424U</v>
          </cell>
          <cell r="C1041" t="str">
            <v>Accessory - Hats</v>
          </cell>
          <cell r="D1041" t="str">
            <v>Ivory</v>
          </cell>
          <cell r="E1041" t="str">
            <v>100%POLYESTER&gt;EXCLUSIVE OF TRIMMING</v>
          </cell>
          <cell r="F1041" t="str">
            <v>CN</v>
          </cell>
          <cell r="H1041">
            <v>4.16</v>
          </cell>
          <cell r="I1041">
            <v>1</v>
          </cell>
          <cell r="J1041">
            <v>4.16</v>
          </cell>
          <cell r="K1041" t="str">
            <v>6505.00.6090</v>
          </cell>
          <cell r="L1041" t="str">
            <v>6505.00.30.00.00</v>
          </cell>
        </row>
        <row r="1042">
          <cell r="B1042" t="str">
            <v>A0499U</v>
          </cell>
          <cell r="C1042" t="str">
            <v>Accessory - Hats</v>
          </cell>
          <cell r="D1042" t="str">
            <v>Athletic Heather Grey</v>
          </cell>
          <cell r="E1042" t="str">
            <v>100%POLYESTER&gt;EXCLUSIVE OF TRIMMING</v>
          </cell>
          <cell r="F1042" t="str">
            <v>CN</v>
          </cell>
          <cell r="H1042">
            <v>4.95</v>
          </cell>
          <cell r="I1042">
            <v>18</v>
          </cell>
          <cell r="J1042">
            <v>89.100000000000009</v>
          </cell>
          <cell r="K1042" t="str">
            <v>6505.00.6090</v>
          </cell>
          <cell r="L1042" t="str">
            <v>6505.00.30.00.00</v>
          </cell>
        </row>
        <row r="1043">
          <cell r="B1043" t="str">
            <v>A0499U</v>
          </cell>
          <cell r="C1043" t="str">
            <v>Accessory - Hats</v>
          </cell>
          <cell r="D1043" t="str">
            <v>Celestial Blue</v>
          </cell>
          <cell r="E1043" t="str">
            <v>100%POLYESTER&gt;EXCLUSIVE OF TRIMMING</v>
          </cell>
          <cell r="F1043" t="str">
            <v>CN</v>
          </cell>
          <cell r="H1043">
            <v>4.95</v>
          </cell>
          <cell r="I1043">
            <v>12</v>
          </cell>
          <cell r="J1043">
            <v>59.400000000000006</v>
          </cell>
          <cell r="K1043" t="str">
            <v>6505.00.6090</v>
          </cell>
          <cell r="L1043" t="str">
            <v>6505.00.30.00.00</v>
          </cell>
        </row>
        <row r="1044">
          <cell r="B1044" t="str">
            <v>A0657U</v>
          </cell>
          <cell r="C1044" t="str">
            <v>Accessory - Hair Management</v>
          </cell>
          <cell r="D1044" t="str">
            <v>Clear/Gold</v>
          </cell>
          <cell r="E1044" t="str">
            <v>ACETATE</v>
          </cell>
          <cell r="F1044" t="str">
            <v>CN</v>
          </cell>
          <cell r="H1044">
            <v>6.5</v>
          </cell>
          <cell r="I1044">
            <v>19</v>
          </cell>
          <cell r="J1044">
            <v>123.5</v>
          </cell>
          <cell r="K1044" t="str">
            <v>9615.19.6000</v>
          </cell>
          <cell r="L1044" t="str">
            <v>9615.19.00.00.00</v>
          </cell>
        </row>
        <row r="1045">
          <cell r="B1045" t="str">
            <v>M3261R</v>
          </cell>
          <cell r="C1045" t="str">
            <v>Men's Cover Ups</v>
          </cell>
          <cell r="D1045" t="str">
            <v>Athletic Heather Grey</v>
          </cell>
          <cell r="E1045" t="str">
            <v>90%COTTON 9%NYLON 1%ELASTANE&gt;EXCLUSIVE OF TRIMMING</v>
          </cell>
          <cell r="F1045" t="str">
            <v>CN</v>
          </cell>
          <cell r="H1045">
            <v>36</v>
          </cell>
          <cell r="I1045">
            <v>12</v>
          </cell>
          <cell r="J1045">
            <v>432</v>
          </cell>
          <cell r="K1045" t="str">
            <v>6110.20.2010</v>
          </cell>
          <cell r="L1045" t="str">
            <v>6110.20.91.00.00</v>
          </cell>
        </row>
        <row r="1046">
          <cell r="B1046" t="str">
            <v>M3261R</v>
          </cell>
          <cell r="C1046" t="str">
            <v>Men's Cover Ups</v>
          </cell>
          <cell r="D1046" t="str">
            <v>Black</v>
          </cell>
          <cell r="E1046" t="str">
            <v>90%COTTON 9%NYLON 1%ELASTANE&gt;EXCLUSIVE OF TRIMMING</v>
          </cell>
          <cell r="F1046" t="str">
            <v>CN</v>
          </cell>
          <cell r="H1046">
            <v>36</v>
          </cell>
          <cell r="I1046">
            <v>12</v>
          </cell>
          <cell r="J1046">
            <v>432</v>
          </cell>
          <cell r="K1046" t="str">
            <v>6110.20.2010</v>
          </cell>
          <cell r="L1046" t="str">
            <v>6110.20.91.00.00</v>
          </cell>
        </row>
        <row r="1047">
          <cell r="B1047" t="str">
            <v>M4152R</v>
          </cell>
          <cell r="C1047" t="str">
            <v>Men's Outerwear</v>
          </cell>
          <cell r="D1047" t="str">
            <v>Bone</v>
          </cell>
          <cell r="E1047" t="str">
            <v>100%POLYESTER&gt;EXCLUSIVE OF TRIMMING</v>
          </cell>
          <cell r="F1047" t="str">
            <v>CN</v>
          </cell>
          <cell r="H1047">
            <v>35.06</v>
          </cell>
          <cell r="I1047">
            <v>5</v>
          </cell>
          <cell r="J1047">
            <v>175.3</v>
          </cell>
          <cell r="K1047" t="str">
            <v>6210.20.3000</v>
          </cell>
          <cell r="L1047" t="str">
            <v>6210.20.00.00.00</v>
          </cell>
        </row>
        <row r="1048">
          <cell r="B1048" t="str">
            <v>M5210R</v>
          </cell>
          <cell r="C1048" t="str">
            <v>Men's Other Bottoms</v>
          </cell>
          <cell r="D1048" t="str">
            <v>Athletic Heather Grey</v>
          </cell>
          <cell r="E1048" t="str">
            <v>100%COTTON&gt;EXCLUSIVE OF TRIMMING</v>
          </cell>
          <cell r="F1048" t="str">
            <v>US</v>
          </cell>
          <cell r="H1048">
            <v>27.25</v>
          </cell>
          <cell r="I1048">
            <v>8</v>
          </cell>
          <cell r="J1048">
            <v>218</v>
          </cell>
          <cell r="K1048" t="str">
            <v>6103.42.1020</v>
          </cell>
          <cell r="L1048" t="str">
            <v>6103.42.00.00.00</v>
          </cell>
        </row>
        <row r="1049">
          <cell r="B1049" t="str">
            <v>M5210R</v>
          </cell>
          <cell r="C1049" t="str">
            <v>Men's Other Bottoms</v>
          </cell>
          <cell r="D1049" t="str">
            <v>Black</v>
          </cell>
          <cell r="E1049" t="str">
            <v>100%COTTON&gt;EXCLUSIVE OF TRIMMING</v>
          </cell>
          <cell r="F1049" t="str">
            <v>US</v>
          </cell>
          <cell r="H1049">
            <v>27.25</v>
          </cell>
          <cell r="I1049">
            <v>10</v>
          </cell>
          <cell r="J1049">
            <v>272.5</v>
          </cell>
          <cell r="K1049" t="str">
            <v>6103.42.1020</v>
          </cell>
          <cell r="L1049" t="str">
            <v>6103.42.00.00.00</v>
          </cell>
        </row>
        <row r="1050">
          <cell r="B1050" t="str">
            <v>W51400R</v>
          </cell>
          <cell r="C1050" t="str">
            <v>Women's Other Bottoms</v>
          </cell>
          <cell r="D1050" t="str">
            <v>Black</v>
          </cell>
          <cell r="E1050" t="str">
            <v>90%COTTON 9%NYLON 1%ELASTANE&gt;EXCLUSIVE OF TRIMMING</v>
          </cell>
          <cell r="F1050" t="str">
            <v>CN</v>
          </cell>
          <cell r="H1050">
            <v>30.54</v>
          </cell>
          <cell r="I1050">
            <v>8</v>
          </cell>
          <cell r="J1050">
            <v>244.32</v>
          </cell>
          <cell r="K1050" t="str">
            <v>6104.62.2011</v>
          </cell>
          <cell r="L1050" t="str">
            <v>6104.62.00.00.00</v>
          </cell>
        </row>
        <row r="1051">
          <cell r="B1051" t="str">
            <v>W51400R</v>
          </cell>
          <cell r="C1051" t="str">
            <v>Women's Other Bottoms</v>
          </cell>
          <cell r="D1051" t="str">
            <v>Espresso</v>
          </cell>
          <cell r="E1051" t="str">
            <v>90%COTTON 9%NYLON 1%ELASTANE&gt;EXCLUSIVE OF TRIMMING</v>
          </cell>
          <cell r="F1051" t="str">
            <v>CN</v>
          </cell>
          <cell r="H1051">
            <v>30.54</v>
          </cell>
          <cell r="I1051">
            <v>10</v>
          </cell>
          <cell r="J1051">
            <v>305.39999999999998</v>
          </cell>
          <cell r="K1051" t="str">
            <v>6104.62.2011</v>
          </cell>
          <cell r="L1051" t="str">
            <v>6104.62.00.00.00</v>
          </cell>
        </row>
        <row r="1052">
          <cell r="B1052" t="str">
            <v>W51400R</v>
          </cell>
          <cell r="C1052" t="str">
            <v>Women's Other Bottoms</v>
          </cell>
          <cell r="D1052" t="str">
            <v>Ivory</v>
          </cell>
          <cell r="E1052" t="str">
            <v>90%COTTON 9%NYLON 1%ELASTANE&gt;EXCLUSIVE OF TRIMMING</v>
          </cell>
          <cell r="F1052" t="str">
            <v>CN</v>
          </cell>
          <cell r="H1052">
            <v>30.54</v>
          </cell>
          <cell r="I1052">
            <v>7</v>
          </cell>
          <cell r="J1052">
            <v>213.78</v>
          </cell>
          <cell r="K1052" t="str">
            <v>6104.62.2011</v>
          </cell>
          <cell r="L1052" t="str">
            <v>6104.62.00.00.00</v>
          </cell>
        </row>
        <row r="1053">
          <cell r="B1053" t="str">
            <v>W1459R</v>
          </cell>
          <cell r="C1053" t="str">
            <v>Women's Short Sleeve Tops</v>
          </cell>
          <cell r="D1053" t="str">
            <v>Black/Anthracite</v>
          </cell>
          <cell r="E1053" t="str">
            <v>62%RAYON 38%POLYESTER&gt;EXCLUSIVE OF TRIMMING</v>
          </cell>
          <cell r="F1053" t="str">
            <v>CN</v>
          </cell>
          <cell r="H1053">
            <v>22.38</v>
          </cell>
          <cell r="I1053">
            <v>6</v>
          </cell>
          <cell r="J1053">
            <v>134.28</v>
          </cell>
          <cell r="K1053" t="str">
            <v>6110.30.3020</v>
          </cell>
          <cell r="L1053" t="str">
            <v>6110.30.99.00.00</v>
          </cell>
        </row>
        <row r="1054">
          <cell r="B1054" t="str">
            <v>W1459R</v>
          </cell>
          <cell r="C1054" t="str">
            <v>Women's Short Sleeve Tops</v>
          </cell>
          <cell r="D1054" t="str">
            <v>CelBl/Dark Celestial Blue</v>
          </cell>
          <cell r="E1054" t="str">
            <v>62%RAYON 38%POLYESTER&gt;EXCLUSIVE OF TRIMMING</v>
          </cell>
          <cell r="F1054" t="str">
            <v>CN</v>
          </cell>
          <cell r="H1054">
            <v>22.38</v>
          </cell>
          <cell r="I1054">
            <v>6</v>
          </cell>
          <cell r="J1054">
            <v>134.28</v>
          </cell>
          <cell r="K1054" t="str">
            <v>6110.30.3020</v>
          </cell>
          <cell r="L1054" t="str">
            <v>6110.30.99.00.00</v>
          </cell>
        </row>
        <row r="1055">
          <cell r="B1055" t="str">
            <v>W1459R</v>
          </cell>
          <cell r="C1055" t="str">
            <v>Women's Short Sleeve Tops</v>
          </cell>
          <cell r="D1055" t="str">
            <v>Oat Milk/Ivory</v>
          </cell>
          <cell r="E1055" t="str">
            <v>62%RAYON 38%POLYESTER&gt;EXCLUSIVE OF TRIMMING</v>
          </cell>
          <cell r="F1055" t="str">
            <v>CN</v>
          </cell>
          <cell r="H1055">
            <v>22.38</v>
          </cell>
          <cell r="I1055">
            <v>8</v>
          </cell>
          <cell r="J1055">
            <v>179.04</v>
          </cell>
          <cell r="K1055" t="str">
            <v>6110.30.3020</v>
          </cell>
          <cell r="L1055" t="str">
            <v>6110.30.99.00.00</v>
          </cell>
        </row>
        <row r="1056">
          <cell r="B1056" t="str">
            <v>W3788R</v>
          </cell>
          <cell r="C1056" t="str">
            <v>Women's Long Sleeve Tops</v>
          </cell>
          <cell r="D1056" t="str">
            <v>Winter Ivy</v>
          </cell>
          <cell r="E1056" t="str">
            <v>83%POLYESTER 17%ELASTANE</v>
          </cell>
          <cell r="F1056" t="str">
            <v>US</v>
          </cell>
          <cell r="H1056">
            <v>15.64</v>
          </cell>
          <cell r="I1056">
            <v>1</v>
          </cell>
          <cell r="J1056">
            <v>15.64</v>
          </cell>
          <cell r="K1056" t="str">
            <v>6110.30.3059</v>
          </cell>
          <cell r="L1056" t="str">
            <v>6110.30.99.00.00</v>
          </cell>
        </row>
        <row r="1057">
          <cell r="B1057" t="str">
            <v>W3870R</v>
          </cell>
          <cell r="C1057" t="str">
            <v>Women's Long Sleeve Tops</v>
          </cell>
          <cell r="D1057" t="str">
            <v>Black</v>
          </cell>
          <cell r="E1057" t="str">
            <v>93%MODAL 7%ELASTANE</v>
          </cell>
          <cell r="F1057" t="str">
            <v>VN</v>
          </cell>
          <cell r="H1057">
            <v>13.1</v>
          </cell>
          <cell r="I1057">
            <v>1</v>
          </cell>
          <cell r="J1057">
            <v>13.1</v>
          </cell>
          <cell r="K1057" t="str">
            <v>6110.30.3059</v>
          </cell>
          <cell r="L1057" t="str">
            <v>6110.30.99.00.00</v>
          </cell>
        </row>
        <row r="1058">
          <cell r="B1058" t="str">
            <v>W3887R</v>
          </cell>
          <cell r="C1058" t="str">
            <v>Women's Cover Ups</v>
          </cell>
          <cell r="D1058" t="str">
            <v>Celestial Blue Heather</v>
          </cell>
          <cell r="E1058" t="str">
            <v>100%CASHMERE&gt;EXCLUSIVE OF TRIMMING</v>
          </cell>
          <cell r="F1058" t="str">
            <v>CN</v>
          </cell>
          <cell r="H1058">
            <v>79.900000000000006</v>
          </cell>
          <cell r="I1058">
            <v>6</v>
          </cell>
          <cell r="J1058">
            <v>479.40000000000003</v>
          </cell>
          <cell r="K1058" t="str">
            <v>6110.12.1020</v>
          </cell>
          <cell r="L1058" t="str">
            <v>6110.12.90.00.00</v>
          </cell>
        </row>
        <row r="1059">
          <cell r="B1059" t="str">
            <v>W3887R</v>
          </cell>
          <cell r="C1059" t="str">
            <v>Women's Cover Ups</v>
          </cell>
          <cell r="D1059" t="str">
            <v>Dark Heather Grey</v>
          </cell>
          <cell r="E1059" t="str">
            <v>100%CASHMERE&gt;EXCLUSIVE OF TRIMMING</v>
          </cell>
          <cell r="F1059" t="str">
            <v>CN</v>
          </cell>
          <cell r="H1059">
            <v>79.900000000000006</v>
          </cell>
          <cell r="I1059">
            <v>12</v>
          </cell>
          <cell r="J1059">
            <v>958.80000000000007</v>
          </cell>
          <cell r="K1059" t="str">
            <v>6110.12.1020</v>
          </cell>
          <cell r="L1059" t="str">
            <v>6110.12.90.00.00</v>
          </cell>
        </row>
        <row r="1060">
          <cell r="B1060" t="str">
            <v>W3887R</v>
          </cell>
          <cell r="C1060" t="str">
            <v>Women's Cover Ups</v>
          </cell>
          <cell r="D1060" t="str">
            <v>Ivory</v>
          </cell>
          <cell r="E1060" t="str">
            <v>100%CASHMERE&gt;EXCLUSIVE OF TRIMMING</v>
          </cell>
          <cell r="F1060" t="str">
            <v>CN</v>
          </cell>
          <cell r="H1060">
            <v>79.900000000000006</v>
          </cell>
          <cell r="I1060">
            <v>6</v>
          </cell>
          <cell r="J1060">
            <v>479.40000000000003</v>
          </cell>
          <cell r="K1060" t="str">
            <v>6110.12.1020</v>
          </cell>
          <cell r="L1060" t="str">
            <v>6110.12.90.00.00</v>
          </cell>
        </row>
        <row r="1061">
          <cell r="B1061" t="str">
            <v>W4620R</v>
          </cell>
          <cell r="C1061" t="str">
            <v>Women's Outerwear</v>
          </cell>
          <cell r="D1061" t="str">
            <v>Toasted Almond</v>
          </cell>
          <cell r="E1061" t="str">
            <v>SHELL: 55%COTTON 36%POLYESTER 9%NYLON&gt;LINING: 100%POLYESTER&gt;EXCLUSIVE OF TRIMMING</v>
          </cell>
          <cell r="F1061" t="str">
            <v>VN</v>
          </cell>
          <cell r="H1061">
            <v>46</v>
          </cell>
          <cell r="I1061">
            <v>6</v>
          </cell>
          <cell r="J1061">
            <v>276</v>
          </cell>
          <cell r="K1061" t="str">
            <v>6210.30.7000</v>
          </cell>
          <cell r="L1061" t="str">
            <v>6210.30.00.00.00</v>
          </cell>
        </row>
        <row r="1062">
          <cell r="B1062" t="str">
            <v>AMKNPO1046</v>
          </cell>
          <cell r="C1062" t="str">
            <v>Knitwear</v>
          </cell>
          <cell r="E1062" t="str">
            <v>87% WOOL 2% COTTON 2% VISCOSE 6% CASHMERE 3% SILK</v>
          </cell>
          <cell r="F1062" t="str">
            <v>IT</v>
          </cell>
          <cell r="H1062">
            <v>173</v>
          </cell>
          <cell r="I1062">
            <v>6</v>
          </cell>
          <cell r="J1062">
            <v>1039.5</v>
          </cell>
          <cell r="K1062">
            <v>6105901000</v>
          </cell>
          <cell r="L1062" t="str">
            <v>6105.90.10.00.00</v>
          </cell>
        </row>
        <row r="1063">
          <cell r="B1063" t="str">
            <v>AMJYSH1036</v>
          </cell>
          <cell r="C1063" t="str">
            <v>Jersey</v>
          </cell>
          <cell r="E1063" t="str">
            <v>100% COTTON</v>
          </cell>
          <cell r="F1063" t="str">
            <v>IT</v>
          </cell>
          <cell r="H1063">
            <v>86</v>
          </cell>
          <cell r="I1063">
            <v>5</v>
          </cell>
          <cell r="J1063">
            <v>427.88</v>
          </cell>
          <cell r="K1063">
            <v>6103421050</v>
          </cell>
          <cell r="L1063" t="str">
            <v>6103.42.00.00.00</v>
          </cell>
        </row>
        <row r="1064">
          <cell r="B1064" t="str">
            <v>AMSTFL1009</v>
          </cell>
          <cell r="C1064" t="str">
            <v>Shirts</v>
          </cell>
          <cell r="E1064" t="str">
            <v>100% COTTON</v>
          </cell>
          <cell r="F1064" t="str">
            <v>IT</v>
          </cell>
          <cell r="H1064">
            <v>147</v>
          </cell>
          <cell r="I1064">
            <v>5</v>
          </cell>
          <cell r="J1064">
            <v>735</v>
          </cell>
          <cell r="K1064">
            <v>6205202016</v>
          </cell>
          <cell r="L1064" t="str">
            <v>6205.20.00.00.18</v>
          </cell>
        </row>
        <row r="1065">
          <cell r="B1065" t="str">
            <v>AMACCO1007</v>
          </cell>
          <cell r="C1065" t="str">
            <v>Accessories</v>
          </cell>
          <cell r="E1065" t="str">
            <v>100% BOVINE LEATHER</v>
          </cell>
          <cell r="F1065" t="str">
            <v>IT</v>
          </cell>
          <cell r="H1065">
            <v>62</v>
          </cell>
          <cell r="I1065">
            <v>4</v>
          </cell>
          <cell r="J1065">
            <v>247.8</v>
          </cell>
          <cell r="K1065">
            <v>4202316000</v>
          </cell>
          <cell r="L1065" t="str">
            <v>4202.31.00.00.00</v>
          </cell>
        </row>
        <row r="1066">
          <cell r="B1066" t="str">
            <v>AWOUVY1008</v>
          </cell>
          <cell r="C1066" t="str">
            <v>Outerwear</v>
          </cell>
          <cell r="E1066" t="str">
            <v>75% WOOL, 25% NYLON
COMBO: 100% LEATHER</v>
          </cell>
          <cell r="F1066" t="str">
            <v>IT</v>
          </cell>
          <cell r="H1066">
            <v>259</v>
          </cell>
          <cell r="I1066">
            <v>1</v>
          </cell>
          <cell r="J1066">
            <v>259.35000000000002</v>
          </cell>
          <cell r="K1066">
            <v>6202204011</v>
          </cell>
          <cell r="L1066" t="str">
            <v>6202.20.00.00.00</v>
          </cell>
        </row>
        <row r="1067">
          <cell r="B1067" t="str">
            <v>AMJYPO1012</v>
          </cell>
          <cell r="C1067" t="str">
            <v>Jersey</v>
          </cell>
          <cell r="E1067" t="str">
            <v>100% COTTON</v>
          </cell>
          <cell r="F1067" t="str">
            <v>IT</v>
          </cell>
          <cell r="H1067">
            <v>69</v>
          </cell>
          <cell r="I1067">
            <v>7</v>
          </cell>
          <cell r="J1067">
            <v>481.43</v>
          </cell>
          <cell r="K1067">
            <v>6105100010</v>
          </cell>
          <cell r="L1067" t="str">
            <v>6105.10.00.00.00</v>
          </cell>
        </row>
        <row r="1068">
          <cell r="B1068" t="str">
            <v>AMJYPO1011</v>
          </cell>
          <cell r="C1068" t="str">
            <v>Jersey</v>
          </cell>
          <cell r="E1068" t="str">
            <v>100% COTTON</v>
          </cell>
          <cell r="F1068" t="str">
            <v>IT</v>
          </cell>
          <cell r="H1068">
            <v>56</v>
          </cell>
          <cell r="I1068">
            <v>16</v>
          </cell>
          <cell r="J1068">
            <v>890.4</v>
          </cell>
          <cell r="K1068">
            <v>6105100010</v>
          </cell>
          <cell r="L1068" t="str">
            <v>6105.10.00.00.00</v>
          </cell>
        </row>
        <row r="1069">
          <cell r="B1069" t="str">
            <v>AMSTCA1084</v>
          </cell>
          <cell r="C1069" t="str">
            <v>Shirts</v>
          </cell>
          <cell r="E1069" t="str">
            <v>100% SILK</v>
          </cell>
          <cell r="F1069" t="str">
            <v>IT</v>
          </cell>
          <cell r="H1069">
            <v>129</v>
          </cell>
          <cell r="I1069">
            <v>10</v>
          </cell>
          <cell r="J1069">
            <v>1293.5999999999999</v>
          </cell>
          <cell r="K1069">
            <v>6205901000</v>
          </cell>
          <cell r="L1069" t="str">
            <v>6205.90.80.00.11</v>
          </cell>
        </row>
        <row r="1070">
          <cell r="B1070" t="str">
            <v>AWDNWJ1006</v>
          </cell>
          <cell r="C1070" t="str">
            <v>Denim</v>
          </cell>
          <cell r="E1070" t="str">
            <v>100% COTTON</v>
          </cell>
          <cell r="F1070" t="str">
            <v>IT</v>
          </cell>
          <cell r="H1070">
            <v>247</v>
          </cell>
          <cell r="I1070">
            <v>2</v>
          </cell>
          <cell r="J1070">
            <v>493.5</v>
          </cell>
          <cell r="K1070">
            <v>6202308061</v>
          </cell>
          <cell r="L1070" t="str">
            <v>6202.30.10.00.11</v>
          </cell>
        </row>
        <row r="1071">
          <cell r="B1071" t="str">
            <v>AWDNGH1016</v>
          </cell>
          <cell r="C1071" t="str">
            <v>Denim</v>
          </cell>
          <cell r="E1071" t="str">
            <v>100% COTTON</v>
          </cell>
          <cell r="F1071" t="str">
            <v>IT</v>
          </cell>
          <cell r="H1071">
            <v>263</v>
          </cell>
          <cell r="I1071">
            <v>4</v>
          </cell>
          <cell r="J1071">
            <v>1050</v>
          </cell>
          <cell r="K1071">
            <v>6204628011</v>
          </cell>
          <cell r="L1071" t="str">
            <v>6204.62.31.00.00</v>
          </cell>
        </row>
        <row r="1072">
          <cell r="B1072" t="str">
            <v>AMOUTJ1006</v>
          </cell>
          <cell r="C1072" t="str">
            <v>Outerwear</v>
          </cell>
          <cell r="E1072" t="str">
            <v>100% POLYESTER</v>
          </cell>
          <cell r="F1072" t="str">
            <v>IT</v>
          </cell>
          <cell r="H1072">
            <v>203</v>
          </cell>
          <cell r="I1072">
            <v>7</v>
          </cell>
          <cell r="J1072">
            <v>1422.23</v>
          </cell>
          <cell r="K1072">
            <v>6101302010</v>
          </cell>
          <cell r="L1072" t="str">
            <v>6101.30.10.00.00</v>
          </cell>
        </row>
        <row r="1073">
          <cell r="B1073" t="str">
            <v>AMPATP1016</v>
          </cell>
          <cell r="C1073" t="str">
            <v>Pants</v>
          </cell>
          <cell r="E1073" t="str">
            <v>100% POLYESTER</v>
          </cell>
          <cell r="F1073" t="str">
            <v>IT</v>
          </cell>
          <cell r="H1073">
            <v>133</v>
          </cell>
          <cell r="I1073">
            <v>9</v>
          </cell>
          <cell r="J1073">
            <v>1200.1500000000001</v>
          </cell>
          <cell r="K1073">
            <v>6103431520</v>
          </cell>
          <cell r="L1073" t="str">
            <v>6103.43.00.00.00</v>
          </cell>
        </row>
        <row r="1074">
          <cell r="B1074" t="str">
            <v>AMJYHD1041</v>
          </cell>
          <cell r="C1074" t="str">
            <v>Jersey</v>
          </cell>
          <cell r="E1074" t="str">
            <v>100% COTTON</v>
          </cell>
          <cell r="F1074" t="str">
            <v>IT</v>
          </cell>
          <cell r="H1074">
            <v>127</v>
          </cell>
          <cell r="I1074">
            <v>7</v>
          </cell>
          <cell r="J1074">
            <v>887.15</v>
          </cell>
          <cell r="K1074">
            <v>6110201010</v>
          </cell>
          <cell r="L1074" t="str">
            <v>6110.20.10.00.00</v>
          </cell>
        </row>
        <row r="1075">
          <cell r="B1075" t="str">
            <v>AMJYHD1092</v>
          </cell>
          <cell r="C1075" t="str">
            <v>Jersey</v>
          </cell>
          <cell r="E1075" t="str">
            <v>100% COTTON</v>
          </cell>
          <cell r="F1075" t="str">
            <v>IT</v>
          </cell>
          <cell r="H1075">
            <v>117</v>
          </cell>
          <cell r="I1075">
            <v>10</v>
          </cell>
          <cell r="J1075">
            <v>1174.95</v>
          </cell>
          <cell r="K1075">
            <v>6110201010</v>
          </cell>
          <cell r="L1075" t="str">
            <v>6110.20.10.00.00</v>
          </cell>
        </row>
        <row r="1076">
          <cell r="B1076" t="str">
            <v>AMDNSY1097</v>
          </cell>
          <cell r="C1076" t="str">
            <v>Denim</v>
          </cell>
          <cell r="E1076" t="str">
            <v>92% COTTON 6% ELASTOMULTIESTERE 2% ELASTANE</v>
          </cell>
          <cell r="F1076" t="str">
            <v>IT</v>
          </cell>
          <cell r="H1076">
            <v>128</v>
          </cell>
          <cell r="I1076">
            <v>7</v>
          </cell>
          <cell r="J1076">
            <v>896.7</v>
          </cell>
          <cell r="K1076">
            <v>6203424511</v>
          </cell>
          <cell r="L1076" t="str">
            <v>6203.42.35.00.00</v>
          </cell>
        </row>
        <row r="1077">
          <cell r="B1077" t="str">
            <v>AMJYTE1151</v>
          </cell>
          <cell r="C1077" t="str">
            <v>Jersey</v>
          </cell>
          <cell r="E1077" t="str">
            <v>100% COTTON</v>
          </cell>
          <cell r="F1077" t="str">
            <v>IT</v>
          </cell>
          <cell r="H1077">
            <v>52</v>
          </cell>
          <cell r="I1077">
            <v>10</v>
          </cell>
          <cell r="J1077">
            <v>523.95000000000005</v>
          </cell>
          <cell r="K1077">
            <v>6109100012</v>
          </cell>
          <cell r="L1077" t="str">
            <v>6109.10.00.00.00</v>
          </cell>
        </row>
        <row r="1078">
          <cell r="B1078" t="str">
            <v>AWJYTE1054</v>
          </cell>
          <cell r="C1078" t="str">
            <v>Jersey</v>
          </cell>
          <cell r="E1078" t="str">
            <v>100% COTTON</v>
          </cell>
          <cell r="F1078" t="str">
            <v>IT</v>
          </cell>
          <cell r="H1078">
            <v>54</v>
          </cell>
          <cell r="I1078">
            <v>8</v>
          </cell>
          <cell r="J1078">
            <v>435.96</v>
          </cell>
          <cell r="K1078">
            <v>6109100040</v>
          </cell>
          <cell r="L1078" t="str">
            <v>6109.10.00.00.00</v>
          </cell>
        </row>
        <row r="1079">
          <cell r="B1079" t="str">
            <v>AMJYSH1042</v>
          </cell>
          <cell r="C1079" t="str">
            <v>Jersey</v>
          </cell>
          <cell r="E1079" t="str">
            <v>100% COTTON</v>
          </cell>
          <cell r="F1079" t="str">
            <v>IT</v>
          </cell>
          <cell r="H1079">
            <v>86</v>
          </cell>
          <cell r="I1079">
            <v>9</v>
          </cell>
          <cell r="J1079">
            <v>773.96</v>
          </cell>
          <cell r="K1079">
            <v>6103421050</v>
          </cell>
          <cell r="L1079" t="str">
            <v>6103.42.00.00.00</v>
          </cell>
        </row>
        <row r="1080">
          <cell r="B1080" t="str">
            <v>AMJYHD1097</v>
          </cell>
          <cell r="C1080" t="str">
            <v>Jersey</v>
          </cell>
          <cell r="E1080" t="str">
            <v>100% COTTON</v>
          </cell>
          <cell r="F1080" t="str">
            <v>IT</v>
          </cell>
          <cell r="H1080">
            <v>119</v>
          </cell>
          <cell r="I1080">
            <v>4</v>
          </cell>
          <cell r="J1080">
            <v>474.18</v>
          </cell>
          <cell r="K1080">
            <v>6110201010</v>
          </cell>
          <cell r="L1080" t="str">
            <v>6110.20.10.00.00</v>
          </cell>
        </row>
        <row r="1081">
          <cell r="B1081" t="str">
            <v>AMJYTE1153</v>
          </cell>
          <cell r="C1081" t="str">
            <v>Jersey</v>
          </cell>
          <cell r="E1081" t="str">
            <v>100% COTTON</v>
          </cell>
          <cell r="F1081" t="str">
            <v>IT</v>
          </cell>
          <cell r="H1081">
            <v>71</v>
          </cell>
          <cell r="I1081">
            <v>9</v>
          </cell>
          <cell r="J1081">
            <v>637.88</v>
          </cell>
          <cell r="K1081">
            <v>6109100012</v>
          </cell>
          <cell r="L1081" t="str">
            <v>6109.10.00.00.00</v>
          </cell>
        </row>
        <row r="1082">
          <cell r="B1082" t="str">
            <v>AMJYHD1095</v>
          </cell>
          <cell r="C1082" t="str">
            <v>Jersey</v>
          </cell>
          <cell r="E1082" t="str">
            <v>100% COTTON</v>
          </cell>
          <cell r="F1082" t="str">
            <v>IT</v>
          </cell>
          <cell r="H1082">
            <v>117</v>
          </cell>
          <cell r="I1082">
            <v>5</v>
          </cell>
          <cell r="J1082">
            <v>587.48</v>
          </cell>
          <cell r="K1082">
            <v>6110201010</v>
          </cell>
          <cell r="L1082" t="str">
            <v>6110.20.10.00.00</v>
          </cell>
        </row>
        <row r="1083">
          <cell r="B1083" t="str">
            <v>AMJYSP1039</v>
          </cell>
          <cell r="C1083" t="str">
            <v>Jersey</v>
          </cell>
          <cell r="E1083" t="str">
            <v>100% COTTON</v>
          </cell>
          <cell r="F1083" t="str">
            <v>IT</v>
          </cell>
          <cell r="H1083">
            <v>110</v>
          </cell>
          <cell r="I1083">
            <v>7</v>
          </cell>
          <cell r="J1083">
            <v>771.75</v>
          </cell>
          <cell r="K1083">
            <v>6104622011</v>
          </cell>
          <cell r="L1083" t="str">
            <v>6104.62.00.00.00</v>
          </cell>
        </row>
        <row r="1084">
          <cell r="B1084" t="str">
            <v>AMJYHD1114</v>
          </cell>
          <cell r="C1084" t="str">
            <v>Jersey</v>
          </cell>
          <cell r="E1084" t="str">
            <v>100% COTTON</v>
          </cell>
          <cell r="F1084" t="str">
            <v>IT</v>
          </cell>
          <cell r="H1084">
            <v>136</v>
          </cell>
          <cell r="I1084">
            <v>4</v>
          </cell>
          <cell r="J1084">
            <v>545.58000000000004</v>
          </cell>
          <cell r="K1084">
            <v>6110201010</v>
          </cell>
          <cell r="L1084" t="str">
            <v>6110.20.10.00.00</v>
          </cell>
        </row>
        <row r="1085">
          <cell r="B1085" t="str">
            <v>AMDNSY1100</v>
          </cell>
          <cell r="C1085" t="str">
            <v>Denim</v>
          </cell>
          <cell r="D1085" t="str">
            <v>MA QUAD REPAIRED SKINNY JEAN</v>
          </cell>
          <cell r="E1085" t="str">
            <v>92% COTTON 6% ELASTOMULTIESTERE 2% ELASTANE</v>
          </cell>
          <cell r="F1085" t="str">
            <v>US</v>
          </cell>
          <cell r="H1085">
            <v>199.63649999999998</v>
          </cell>
          <cell r="I1085">
            <v>11</v>
          </cell>
          <cell r="J1085">
            <v>2196.0014999999999</v>
          </cell>
          <cell r="K1085" t="str">
            <v>6203424518</v>
          </cell>
          <cell r="L1085" t="str">
            <v>6203.42.31.00.00</v>
          </cell>
        </row>
        <row r="1086">
          <cell r="B1086" t="str">
            <v>AMDNSY1114</v>
          </cell>
          <cell r="C1086" t="str">
            <v>Denim</v>
          </cell>
          <cell r="D1086" t="str">
            <v>STAGGERED LOGO SKINNY JEAN</v>
          </cell>
          <cell r="E1086" t="str">
            <v>92% COTTON 6% ELASTOMULTIESTERE 2% ELASTANE, OVINE LEATHER</v>
          </cell>
          <cell r="F1086" t="str">
            <v>US</v>
          </cell>
          <cell r="H1086">
            <v>172.47299999999998</v>
          </cell>
          <cell r="I1086">
            <v>9</v>
          </cell>
          <cell r="J1086">
            <v>1552.2569999999998</v>
          </cell>
          <cell r="K1086" t="str">
            <v>6203424511</v>
          </cell>
          <cell r="L1086" t="str">
            <v>6203.42.31.00.00</v>
          </cell>
        </row>
        <row r="1087">
          <cell r="B1087" t="str">
            <v>AMDNSY1135</v>
          </cell>
          <cell r="C1087" t="str">
            <v>Denim</v>
          </cell>
          <cell r="D1087" t="str">
            <v>SUEDE MX1 JEAN</v>
          </cell>
          <cell r="E1087" t="str">
            <v>92% COTTON 6% ELASTOMULTIESTERE 2% ELASTANE, BOVINE LEATHER</v>
          </cell>
          <cell r="F1087" t="str">
            <v>US</v>
          </cell>
          <cell r="H1087">
            <v>181.69199999999998</v>
          </cell>
          <cell r="I1087">
            <v>7</v>
          </cell>
          <cell r="J1087">
            <v>1271.8439999999998</v>
          </cell>
          <cell r="K1087" t="str">
            <v>6203424511</v>
          </cell>
          <cell r="L1087" t="str">
            <v>6203.42.31.00.00</v>
          </cell>
        </row>
        <row r="1088">
          <cell r="B1088" t="str">
            <v>AMDNTR1019</v>
          </cell>
          <cell r="C1088" t="str">
            <v>Outerwear</v>
          </cell>
          <cell r="D1088" t="str">
            <v>VINTAGE PEGASUS TRUCKER JACKET</v>
          </cell>
          <cell r="E1088" t="str">
            <v>100% COTTON, APPLIQUE: 100% COTTON</v>
          </cell>
          <cell r="F1088" t="str">
            <v>US</v>
          </cell>
          <cell r="H1088">
            <v>305.59200000000004</v>
          </cell>
          <cell r="I1088">
            <v>2</v>
          </cell>
          <cell r="J1088">
            <v>611.18400000000008</v>
          </cell>
          <cell r="K1088" t="str">
            <v>6101200010</v>
          </cell>
          <cell r="L1088" t="str">
            <v>6101.20.10.00.00</v>
          </cell>
        </row>
        <row r="1089">
          <cell r="B1089" t="str">
            <v>AMHACP1029</v>
          </cell>
          <cell r="C1089" t="str">
            <v>Outerwear</v>
          </cell>
          <cell r="D1089" t="str">
            <v>MA HOLLYWOOD TRUCKER HAT</v>
          </cell>
          <cell r="E1089" t="str">
            <v>100% COTTON; LINING: 100% LYOCELL, MESH: 100% POLYESTER</v>
          </cell>
          <cell r="F1089" t="str">
            <v>US</v>
          </cell>
          <cell r="H1089">
            <v>48.068999999999996</v>
          </cell>
          <cell r="I1089">
            <v>13</v>
          </cell>
          <cell r="J1089">
            <v>624.89699999999993</v>
          </cell>
          <cell r="K1089" t="str">
            <v>6505002590</v>
          </cell>
          <cell r="L1089" t="str">
            <v>6505.00.30.00.00</v>
          </cell>
        </row>
        <row r="1090">
          <cell r="B1090" t="str">
            <v>AMHACP1034</v>
          </cell>
          <cell r="C1090" t="str">
            <v>Hat</v>
          </cell>
          <cell r="D1090" t="str">
            <v>MA QUAD CANVAS HAT</v>
          </cell>
          <cell r="E1090" t="str">
            <v>100% COTTON, LINING: 100% LYOCELL</v>
          </cell>
          <cell r="F1090" t="str">
            <v>US</v>
          </cell>
          <cell r="H1090">
            <v>36.561</v>
          </cell>
          <cell r="I1090">
            <v>13</v>
          </cell>
          <cell r="J1090">
            <v>475.29300000000001</v>
          </cell>
          <cell r="K1090" t="str">
            <v>6505002590</v>
          </cell>
          <cell r="L1090" t="str">
            <v>6505.00.30.00.00</v>
          </cell>
        </row>
        <row r="1091">
          <cell r="B1091" t="str">
            <v>AMHACP1034</v>
          </cell>
          <cell r="C1091" t="str">
            <v>Hat</v>
          </cell>
          <cell r="D1091" t="str">
            <v>MA QUAD CANVAS HAT</v>
          </cell>
          <cell r="E1091" t="str">
            <v>100% COTTON, LINING: 100% LYOCELL</v>
          </cell>
          <cell r="F1091" t="str">
            <v>US</v>
          </cell>
          <cell r="H1091">
            <v>38.2515</v>
          </cell>
          <cell r="I1091">
            <v>9</v>
          </cell>
          <cell r="J1091">
            <v>344.26350000000002</v>
          </cell>
          <cell r="K1091" t="str">
            <v>6505002590</v>
          </cell>
          <cell r="L1091" t="str">
            <v>6505.00.30.00.00</v>
          </cell>
        </row>
        <row r="1092">
          <cell r="B1092" t="str">
            <v>AMHACP1036</v>
          </cell>
          <cell r="C1092" t="str">
            <v>Hat</v>
          </cell>
          <cell r="D1092" t="str">
            <v>MA QUAD DENIM HAT</v>
          </cell>
          <cell r="E1092" t="str">
            <v>100% COTTON, LINING: 100% LYOCELL, BILL: BOVINE LEATHER</v>
          </cell>
          <cell r="F1092" t="str">
            <v>US</v>
          </cell>
          <cell r="H1092">
            <v>36.162000000000006</v>
          </cell>
          <cell r="I1092">
            <v>13</v>
          </cell>
          <cell r="J1092">
            <v>470.10600000000011</v>
          </cell>
          <cell r="K1092" t="str">
            <v>6505002590</v>
          </cell>
          <cell r="L1092" t="str">
            <v>6505.00.30.00.00</v>
          </cell>
        </row>
        <row r="1093">
          <cell r="B1093" t="str">
            <v>AMHACP1037</v>
          </cell>
          <cell r="C1093" t="str">
            <v>Hat</v>
          </cell>
          <cell r="D1093" t="str">
            <v>AMIRI TWO TONE CANVAS HAT</v>
          </cell>
          <cell r="E1093" t="str">
            <v>100% COTTON, LINING: 100% LYOCELL</v>
          </cell>
          <cell r="F1093" t="str">
            <v>US</v>
          </cell>
          <cell r="H1093">
            <v>44.026499999999999</v>
          </cell>
          <cell r="I1093">
            <v>9</v>
          </cell>
          <cell r="J1093">
            <v>396.23849999999999</v>
          </cell>
          <cell r="K1093" t="str">
            <v>6505002590</v>
          </cell>
          <cell r="L1093" t="str">
            <v>6505.00.30.00.00</v>
          </cell>
        </row>
        <row r="1094">
          <cell r="B1094" t="str">
            <v>AMHACP1037</v>
          </cell>
          <cell r="C1094" t="str">
            <v>Hat</v>
          </cell>
          <cell r="D1094" t="str">
            <v>AMIRI TWO TONE CANVAS HAT</v>
          </cell>
          <cell r="E1094" t="str">
            <v>100% COTTON, LINING: 100% LYOCELL</v>
          </cell>
          <cell r="F1094" t="str">
            <v>US</v>
          </cell>
          <cell r="H1094">
            <v>44.026499999999999</v>
          </cell>
          <cell r="I1094">
            <v>9</v>
          </cell>
          <cell r="J1094">
            <v>396.23849999999999</v>
          </cell>
          <cell r="K1094" t="str">
            <v>6505002590</v>
          </cell>
          <cell r="L1094" t="str">
            <v>6505.00.30.00.00</v>
          </cell>
        </row>
        <row r="1095">
          <cell r="B1095" t="str">
            <v>AWJYHD1008</v>
          </cell>
          <cell r="C1095" t="str">
            <v>Outerwear</v>
          </cell>
          <cell r="D1095" t="str">
            <v>MA CORE LOGO HOODIE</v>
          </cell>
          <cell r="E1095" t="str">
            <v>100% COTTON, HOOD LINING: 100% COTTON, POCKET LINING: 100% LYOCELL</v>
          </cell>
          <cell r="F1095" t="str">
            <v>US</v>
          </cell>
          <cell r="H1095">
            <v>65.436000000000007</v>
          </cell>
          <cell r="I1095">
            <v>10</v>
          </cell>
          <cell r="J1095">
            <v>654.36000000000013</v>
          </cell>
          <cell r="K1095" t="str">
            <v>6110202079</v>
          </cell>
          <cell r="L1095" t="str">
            <v>6110.20.91.00.00</v>
          </cell>
        </row>
        <row r="1096">
          <cell r="B1096" t="str">
            <v>AMJYTE1188</v>
          </cell>
          <cell r="C1096" t="str">
            <v>Jersey</v>
          </cell>
          <cell r="D1096" t="str">
            <v>AMIRI STARBURST CRYSTAL TEE</v>
          </cell>
          <cell r="E1096" t="str">
            <v>100% COTTON</v>
          </cell>
          <cell r="F1096" t="str">
            <v>IT</v>
          </cell>
          <cell r="H1096">
            <v>38.5</v>
          </cell>
          <cell r="I1096">
            <v>39</v>
          </cell>
          <cell r="J1096">
            <v>1501.5</v>
          </cell>
          <cell r="K1096">
            <v>6109100012</v>
          </cell>
          <cell r="L1096" t="str">
            <v>6109.10.00.00.00</v>
          </cell>
        </row>
        <row r="1097">
          <cell r="B1097" t="str">
            <v>AMSHCA1081</v>
          </cell>
          <cell r="C1097" t="str">
            <v>Shorts</v>
          </cell>
          <cell r="D1097" t="str">
            <v>STARBURST SHORT</v>
          </cell>
          <cell r="E1097" t="str">
            <v>100% VISCOSE</v>
          </cell>
          <cell r="F1097" t="str">
            <v>IT</v>
          </cell>
          <cell r="H1097">
            <v>109.78</v>
          </cell>
          <cell r="I1097">
            <v>3</v>
          </cell>
          <cell r="J1097">
            <v>329.34000000000003</v>
          </cell>
          <cell r="K1097">
            <v>6203495045</v>
          </cell>
          <cell r="L1097" t="str">
            <v>6203.49.19.00.00</v>
          </cell>
        </row>
        <row r="1098">
          <cell r="B1098" t="str">
            <v>AMJYTE1188</v>
          </cell>
          <cell r="C1098" t="str">
            <v>Jersey</v>
          </cell>
          <cell r="D1098" t="str">
            <v>AMIRI STARBURST CRYSTAL TEE</v>
          </cell>
          <cell r="E1098" t="str">
            <v>100% COTTON</v>
          </cell>
          <cell r="F1098" t="str">
            <v>IT</v>
          </cell>
          <cell r="H1098">
            <v>38.5</v>
          </cell>
          <cell r="I1098">
            <v>5</v>
          </cell>
          <cell r="J1098">
            <v>192.5</v>
          </cell>
          <cell r="K1098" t="str">
            <v>6109100012</v>
          </cell>
          <cell r="L1098" t="str">
            <v>6109.10.00.00.00</v>
          </cell>
        </row>
        <row r="1099">
          <cell r="B1099" t="str">
            <v>AMSTCA1130</v>
          </cell>
          <cell r="C1099" t="str">
            <v>Shirts</v>
          </cell>
          <cell r="D1099" t="str">
            <v>STARBURST CAMP SHIRT</v>
          </cell>
          <cell r="E1099" t="str">
            <v>100% VISCOSE</v>
          </cell>
          <cell r="F1099" t="str">
            <v>IT</v>
          </cell>
          <cell r="H1099">
            <v>97.6</v>
          </cell>
          <cell r="I1099">
            <v>14</v>
          </cell>
          <cell r="J1099">
            <v>1366.3999999999999</v>
          </cell>
          <cell r="K1099">
            <v>6205302010</v>
          </cell>
          <cell r="L1099" t="str">
            <v>6205.30.00.00.00</v>
          </cell>
        </row>
        <row r="1100">
          <cell r="B1100" t="str">
            <v>AMSHCA1081</v>
          </cell>
          <cell r="C1100" t="str">
            <v>Shorts</v>
          </cell>
          <cell r="D1100" t="str">
            <v>STARBURST SHORT</v>
          </cell>
          <cell r="E1100" t="str">
            <v>100% VISCOSE</v>
          </cell>
          <cell r="F1100" t="str">
            <v>IT</v>
          </cell>
          <cell r="H1100">
            <v>109.78</v>
          </cell>
          <cell r="I1100">
            <v>9</v>
          </cell>
          <cell r="J1100">
            <v>988.02</v>
          </cell>
          <cell r="K1100" t="str">
            <v>6203495045</v>
          </cell>
          <cell r="L1100" t="str">
            <v>6203.49.19.00.00</v>
          </cell>
        </row>
        <row r="1101">
          <cell r="B1101" t="str">
            <v>AMJYTE1164</v>
          </cell>
          <cell r="C1101" t="str">
            <v>Jersey</v>
          </cell>
          <cell r="D1101" t="str">
            <v>AMIRI GARDEN TEE</v>
          </cell>
          <cell r="E1101" t="str">
            <v>100% COTTON</v>
          </cell>
          <cell r="F1101" t="str">
            <v>IT</v>
          </cell>
          <cell r="H1101">
            <v>30.9</v>
          </cell>
          <cell r="I1101">
            <v>33</v>
          </cell>
          <cell r="J1101">
            <v>1019.6999999999999</v>
          </cell>
          <cell r="K1101" t="str">
            <v>6109100012</v>
          </cell>
          <cell r="L1101" t="str">
            <v>6109.10.00.00.00</v>
          </cell>
        </row>
        <row r="1102">
          <cell r="B1102" t="str">
            <v>AMJYTE1192</v>
          </cell>
          <cell r="C1102" t="str">
            <v>Jersey</v>
          </cell>
          <cell r="D1102" t="str">
            <v>AMIRI GARDEN TEE</v>
          </cell>
          <cell r="E1102" t="str">
            <v>100% COTTON</v>
          </cell>
          <cell r="F1102" t="str">
            <v>IT</v>
          </cell>
          <cell r="H1102">
            <v>27.9</v>
          </cell>
          <cell r="I1102">
            <v>33</v>
          </cell>
          <cell r="J1102">
            <v>920.69999999999993</v>
          </cell>
          <cell r="K1102" t="str">
            <v>6109100012</v>
          </cell>
          <cell r="L1102" t="str">
            <v>6109.10.00.00.00</v>
          </cell>
        </row>
        <row r="1103">
          <cell r="B1103" t="str">
            <v>AMJYTE1167</v>
          </cell>
          <cell r="C1103" t="str">
            <v>Jersey</v>
          </cell>
          <cell r="D1103" t="str">
            <v>AMIRI JAZZ BAND TEE</v>
          </cell>
          <cell r="E1103" t="str">
            <v>100% COTTON</v>
          </cell>
          <cell r="F1103" t="str">
            <v>IT</v>
          </cell>
          <cell r="H1103">
            <v>29.9</v>
          </cell>
          <cell r="I1103">
            <v>28</v>
          </cell>
          <cell r="J1103">
            <v>837.19999999999993</v>
          </cell>
          <cell r="K1103" t="str">
            <v>6109100012</v>
          </cell>
          <cell r="L1103" t="str">
            <v>6109.10.00.00.00</v>
          </cell>
        </row>
        <row r="1104">
          <cell r="B1104" t="str">
            <v>AMHABY1010</v>
          </cell>
          <cell r="C1104" t="str">
            <v>Headwear</v>
          </cell>
          <cell r="D1104" t="str">
            <v>AMIRI MA QUAD BUCKET HAT</v>
          </cell>
          <cell r="E1104" t="str">
            <v>100% SILK</v>
          </cell>
          <cell r="F1104" t="str">
            <v>IT</v>
          </cell>
          <cell r="H1104">
            <v>49</v>
          </cell>
          <cell r="I1104">
            <v>5</v>
          </cell>
          <cell r="J1104">
            <v>245</v>
          </cell>
          <cell r="K1104">
            <v>6505009030</v>
          </cell>
          <cell r="L1104" t="str">
            <v>6505.00.90.20.00</v>
          </cell>
        </row>
        <row r="1105">
          <cell r="B1105" t="str">
            <v>AMJYCW1062</v>
          </cell>
          <cell r="C1105" t="str">
            <v>Jersey</v>
          </cell>
          <cell r="D1105" t="str">
            <v>AMIRI MUSIC RECORD CREW</v>
          </cell>
          <cell r="E1105" t="str">
            <v>100% COTTON</v>
          </cell>
          <cell r="F1105" t="str">
            <v>IT</v>
          </cell>
          <cell r="H1105">
            <v>82.9</v>
          </cell>
          <cell r="I1105">
            <v>6</v>
          </cell>
          <cell r="J1105">
            <v>497.40000000000003</v>
          </cell>
          <cell r="K1105">
            <v>6110202041</v>
          </cell>
          <cell r="L1105" t="str">
            <v>6110.20.10.00.00</v>
          </cell>
        </row>
        <row r="1106">
          <cell r="B1106" t="str">
            <v>AMJYTE1168</v>
          </cell>
          <cell r="C1106" t="str">
            <v>Jersey</v>
          </cell>
          <cell r="D1106" t="str">
            <v>AMIRI MUSIC RECORD TEE</v>
          </cell>
          <cell r="E1106" t="str">
            <v>100% COTTON</v>
          </cell>
          <cell r="F1106" t="str">
            <v>IT</v>
          </cell>
          <cell r="H1106">
            <v>49.9</v>
          </cell>
          <cell r="I1106">
            <v>10</v>
          </cell>
          <cell r="J1106">
            <v>499</v>
          </cell>
          <cell r="K1106" t="str">
            <v>6109100012</v>
          </cell>
          <cell r="L1106" t="str">
            <v>6109.10.00.00.00</v>
          </cell>
        </row>
        <row r="1107">
          <cell r="B1107" t="str">
            <v>AMJYTE1168</v>
          </cell>
          <cell r="C1107" t="str">
            <v>Jersey</v>
          </cell>
          <cell r="D1107" t="str">
            <v>AMIRI MUSIC RECORD TEE</v>
          </cell>
          <cell r="E1107" t="str">
            <v>100% COTTON</v>
          </cell>
          <cell r="F1107" t="str">
            <v>IT</v>
          </cell>
          <cell r="H1107">
            <v>52.9</v>
          </cell>
          <cell r="I1107">
            <v>15</v>
          </cell>
          <cell r="J1107">
            <v>793.5</v>
          </cell>
          <cell r="K1107" t="str">
            <v>6109100012</v>
          </cell>
          <cell r="L1107" t="str">
            <v>6109.10.00.00.00</v>
          </cell>
        </row>
        <row r="1108">
          <cell r="B1108" t="str">
            <v>AMJYTE1193</v>
          </cell>
          <cell r="C1108" t="str">
            <v>Jersey</v>
          </cell>
          <cell r="D1108" t="str">
            <v>AMIRI SCRIPT TEE</v>
          </cell>
          <cell r="E1108" t="str">
            <v>100% COTTON</v>
          </cell>
          <cell r="F1108" t="str">
            <v>IT</v>
          </cell>
          <cell r="H1108">
            <v>27.9</v>
          </cell>
          <cell r="I1108">
            <v>14</v>
          </cell>
          <cell r="J1108">
            <v>390.59999999999997</v>
          </cell>
          <cell r="K1108" t="str">
            <v>6109100012</v>
          </cell>
          <cell r="L1108" t="str">
            <v>6109.10.00.00.00</v>
          </cell>
        </row>
        <row r="1109">
          <cell r="B1109" t="str">
            <v>AWJYCW1021</v>
          </cell>
          <cell r="C1109" t="str">
            <v>Jersey</v>
          </cell>
          <cell r="D1109" t="str">
            <v>AMIRI STARBURST CROPPED CREW</v>
          </cell>
          <cell r="E1109" t="str">
            <v>100% COTTON</v>
          </cell>
          <cell r="F1109" t="str">
            <v>IT</v>
          </cell>
          <cell r="H1109">
            <v>61.9</v>
          </cell>
          <cell r="I1109">
            <v>6</v>
          </cell>
          <cell r="J1109">
            <v>371.4</v>
          </cell>
          <cell r="K1109" t="str">
            <v>6110202079</v>
          </cell>
          <cell r="L1109" t="str">
            <v>6110.20.10.00.00</v>
          </cell>
        </row>
        <row r="1110">
          <cell r="B1110" t="str">
            <v>AWJYTE1047</v>
          </cell>
          <cell r="C1110" t="str">
            <v>Jersey</v>
          </cell>
          <cell r="D1110" t="str">
            <v>AMIRI STARBURST CROPPED TEE</v>
          </cell>
          <cell r="E1110" t="str">
            <v>100% COTTON</v>
          </cell>
          <cell r="F1110" t="str">
            <v>IT</v>
          </cell>
          <cell r="H1110">
            <v>29.9</v>
          </cell>
          <cell r="I1110">
            <v>8</v>
          </cell>
          <cell r="J1110">
            <v>239.2</v>
          </cell>
          <cell r="K1110" t="str">
            <v>6109100040</v>
          </cell>
          <cell r="L1110" t="str">
            <v>6109.10.00.00.00</v>
          </cell>
        </row>
        <row r="1111">
          <cell r="B1111" t="str">
            <v>AWJYSP1025</v>
          </cell>
          <cell r="C1111" t="str">
            <v>Jersey</v>
          </cell>
          <cell r="D1111" t="str">
            <v>AMIRI STARBURST SWEATPANT</v>
          </cell>
          <cell r="E1111" t="str">
            <v>100% COTTON</v>
          </cell>
          <cell r="F1111" t="str">
            <v>IT</v>
          </cell>
          <cell r="H1111">
            <v>71.900000000000006</v>
          </cell>
          <cell r="I1111">
            <v>5</v>
          </cell>
          <cell r="J1111">
            <v>359.5</v>
          </cell>
          <cell r="K1111">
            <v>6104622011</v>
          </cell>
          <cell r="L1111" t="str">
            <v>6104.62.00.00.00</v>
          </cell>
        </row>
        <row r="1112">
          <cell r="B1112" t="str">
            <v>AMJYTE1171</v>
          </cell>
          <cell r="C1112" t="str">
            <v>Jersey</v>
          </cell>
          <cell r="D1112" t="str">
            <v>AMIRI STARBURST TEE</v>
          </cell>
          <cell r="E1112" t="str">
            <v>100% COTTON</v>
          </cell>
          <cell r="F1112" t="str">
            <v>IT</v>
          </cell>
          <cell r="H1112">
            <v>31</v>
          </cell>
          <cell r="I1112">
            <v>58</v>
          </cell>
          <cell r="J1112">
            <v>1798</v>
          </cell>
          <cell r="K1112" t="str">
            <v>6109100012</v>
          </cell>
          <cell r="L1112" t="str">
            <v>6109.10.00.00.00</v>
          </cell>
        </row>
        <row r="1113">
          <cell r="B1113" t="str">
            <v>AMKNSH1035</v>
          </cell>
          <cell r="C1113" t="str">
            <v>Knitwear</v>
          </cell>
          <cell r="D1113" t="str">
            <v>CHECKERED SHORT</v>
          </cell>
          <cell r="E1113" t="str">
            <v>50% WOOL 50% POLYAMIDE</v>
          </cell>
          <cell r="F1113" t="str">
            <v>IT</v>
          </cell>
          <cell r="H1113">
            <v>146</v>
          </cell>
          <cell r="I1113">
            <v>4</v>
          </cell>
          <cell r="J1113">
            <v>584</v>
          </cell>
          <cell r="K1113" t="str">
            <v>6103411020</v>
          </cell>
          <cell r="L1113" t="str">
            <v>6103.41.00.00.00</v>
          </cell>
        </row>
        <row r="1114">
          <cell r="B1114" t="str">
            <v>AMSTCA1110</v>
          </cell>
          <cell r="C1114" t="str">
            <v>Shirts</v>
          </cell>
          <cell r="D1114" t="str">
            <v>MA QUAD BLEACHED CAMP SHIRT</v>
          </cell>
          <cell r="E1114" t="str">
            <v>100% SILK</v>
          </cell>
          <cell r="F1114" t="str">
            <v>IT</v>
          </cell>
          <cell r="H1114">
            <v>129.19999999999999</v>
          </cell>
          <cell r="I1114">
            <v>9</v>
          </cell>
          <cell r="J1114">
            <v>1162.8</v>
          </cell>
          <cell r="K1114" t="str">
            <v>6205901000</v>
          </cell>
          <cell r="L1114" t="str">
            <v>6205.90.80.00.11</v>
          </cell>
        </row>
        <row r="1115">
          <cell r="B1115" t="str">
            <v>AMJYHD1110</v>
          </cell>
          <cell r="C1115" t="str">
            <v>Jersey</v>
          </cell>
          <cell r="D1115" t="str">
            <v>MA QUAD BLEACHED OS HOODIE</v>
          </cell>
          <cell r="E1115" t="str">
            <v>100% COTTON</v>
          </cell>
          <cell r="F1115" t="str">
            <v>IT</v>
          </cell>
          <cell r="H1115">
            <v>89.9</v>
          </cell>
          <cell r="I1115">
            <v>6</v>
          </cell>
          <cell r="J1115">
            <v>539.40000000000009</v>
          </cell>
          <cell r="K1115" t="str">
            <v>6110201010</v>
          </cell>
          <cell r="L1115" t="str">
            <v>6110.20.10.00.00</v>
          </cell>
        </row>
        <row r="1116">
          <cell r="B1116" t="str">
            <v>AMFOSR1121</v>
          </cell>
          <cell r="C1116" t="str">
            <v>Footwear</v>
          </cell>
          <cell r="D1116" t="str">
            <v>MA QUAD DEBOSSED NUBUCK MA-1</v>
          </cell>
          <cell r="E1116" t="str">
            <v>UPPER 1: BOVINE LEATHER, UPPER 2: 100% POLYESTER MESH, LINING:80% COTTON+20%POLYESTER FOOTBED:100% POLYESTER         , OUTSOLE:100% RUBBER                          MIDSOLE:100% EVA                                  WELT:100% RUBBER                               ORNAMENT TPU:100% TPU</v>
          </cell>
          <cell r="F1116" t="str">
            <v>VN</v>
          </cell>
          <cell r="H1116">
            <v>94.43</v>
          </cell>
          <cell r="I1116">
            <v>12</v>
          </cell>
          <cell r="J1116">
            <v>1133.1600000000001</v>
          </cell>
          <cell r="K1116" t="str">
            <v>6403996040</v>
          </cell>
          <cell r="L1116" t="str">
            <v>6403.99.93.00.00</v>
          </cell>
        </row>
        <row r="1117">
          <cell r="B1117" t="str">
            <v>AMFOSR1116</v>
          </cell>
          <cell r="C1117" t="str">
            <v>Footwear</v>
          </cell>
          <cell r="D1117" t="str">
            <v>MA QUAD JACQUARD COURT LOW</v>
          </cell>
          <cell r="E1117" t="str">
            <v>UPPER 1:85% POLYESTER+15% NYLON, upper 2: 100% BOVINE LEATHER, LINING: 100% OVINE LEATHER, SOLE: 100% RUBBER</v>
          </cell>
          <cell r="F1117" t="str">
            <v>VN</v>
          </cell>
          <cell r="H1117">
            <v>84.91</v>
          </cell>
          <cell r="I1117">
            <v>24</v>
          </cell>
          <cell r="J1117">
            <v>2037.84</v>
          </cell>
          <cell r="K1117" t="str">
            <v>6403996040</v>
          </cell>
          <cell r="L1117" t="str">
            <v>6403.99.93.00.00</v>
          </cell>
        </row>
        <row r="1118">
          <cell r="B1118" t="str">
            <v>AMFOSR1126</v>
          </cell>
          <cell r="C1118" t="str">
            <v>Footwear</v>
          </cell>
          <cell r="D1118" t="str">
            <v>PACIFIC BONES</v>
          </cell>
          <cell r="E1118" t="str">
            <v>UPPER :100% BOVINE LEATHER, LINING:100% POLYESTER MESH, OUTSOLE : 100% Rubber</v>
          </cell>
          <cell r="F1118" t="str">
            <v>CN</v>
          </cell>
          <cell r="H1118">
            <v>71.63</v>
          </cell>
          <cell r="I1118">
            <v>54</v>
          </cell>
          <cell r="J1118">
            <v>3868.0199999999995</v>
          </cell>
          <cell r="K1118" t="str">
            <v>6403996040</v>
          </cell>
          <cell r="L1118" t="str">
            <v>6403.99.93.00.00</v>
          </cell>
        </row>
        <row r="1119">
          <cell r="B1119" t="str">
            <v>AWFOSR1104</v>
          </cell>
          <cell r="C1119" t="str">
            <v>Footwear</v>
          </cell>
          <cell r="D1119" t="str">
            <v>PACIFIC BONES</v>
          </cell>
          <cell r="E1119" t="str">
            <v>UPPER :100% BOVINE LEATHER, LINING:100% POLYESTER MESH, OUTSOLE : 100% Rubber</v>
          </cell>
          <cell r="F1119" t="str">
            <v>CN</v>
          </cell>
          <cell r="H1119">
            <v>68.819999999999993</v>
          </cell>
          <cell r="I1119">
            <v>36</v>
          </cell>
          <cell r="J1119">
            <v>2477.5199999999995</v>
          </cell>
          <cell r="K1119" t="str">
            <v>6403999031</v>
          </cell>
          <cell r="L1119" t="str">
            <v>6403.99.93.00.00</v>
          </cell>
        </row>
        <row r="1120">
          <cell r="B1120" t="str">
            <v>AMFOSR1125</v>
          </cell>
          <cell r="C1120" t="str">
            <v>Footwear</v>
          </cell>
          <cell r="D1120" t="str">
            <v>SUEDE PACIFIC</v>
          </cell>
          <cell r="E1120" t="str">
            <v>UPPER :100% BOVINE LEATHER, LINING:100% POLYESTER MESH, OUTSOLE : 100% Rubber</v>
          </cell>
          <cell r="F1120" t="str">
            <v>CN</v>
          </cell>
          <cell r="H1120">
            <v>64.349999999999994</v>
          </cell>
          <cell r="I1120">
            <v>28</v>
          </cell>
          <cell r="J1120">
            <v>1801.7999999999997</v>
          </cell>
          <cell r="K1120" t="str">
            <v>6403996040</v>
          </cell>
          <cell r="L1120" t="str">
            <v>6403.99.93.00.00</v>
          </cell>
        </row>
        <row r="1121">
          <cell r="B1121" t="str">
            <v>AWFOSR1094</v>
          </cell>
          <cell r="C1121" t="str">
            <v>Footwear</v>
          </cell>
          <cell r="D1121" t="str">
            <v>MA QUAD JACQUARD COURT LOW</v>
          </cell>
          <cell r="E1121" t="str">
            <v>UPPER 1:85% POLYESTER+15% NYLON, upper 2: 100% BOVINE LEATHER, LINING: 100% OVINE LEATHER, SOLE: 100% RUBBER</v>
          </cell>
          <cell r="F1121" t="str">
            <v>VN</v>
          </cell>
          <cell r="H1121">
            <v>84.81</v>
          </cell>
          <cell r="I1121">
            <v>10</v>
          </cell>
          <cell r="J1121">
            <v>848.1</v>
          </cell>
          <cell r="K1121" t="str">
            <v>6403999031</v>
          </cell>
          <cell r="L1121" t="str">
            <v>6403.99.93.00.00</v>
          </cell>
        </row>
        <row r="1122">
          <cell r="B1122" t="str">
            <v>AMBGBP1010</v>
          </cell>
          <cell r="C1122" t="str">
            <v>Bags</v>
          </cell>
          <cell r="D1122" t="str">
            <v>AMIRI STAGGERED BACKPACK</v>
          </cell>
          <cell r="E1122" t="str">
            <v>100% POLYESTER, TRIM: BOVINE LEATHER, LINING: 100% NYLON</v>
          </cell>
          <cell r="F1122" t="str">
            <v>VN</v>
          </cell>
          <cell r="H1122">
            <v>136.28</v>
          </cell>
          <cell r="I1122">
            <v>4</v>
          </cell>
          <cell r="J1122">
            <v>545.12</v>
          </cell>
          <cell r="K1122" t="str">
            <v>4202923120</v>
          </cell>
          <cell r="L1122" t="str">
            <v>4202.92.11.00.00</v>
          </cell>
        </row>
        <row r="1123">
          <cell r="B1123" t="str">
            <v>AMBGCM1020</v>
          </cell>
          <cell r="C1123" t="str">
            <v>Bags</v>
          </cell>
          <cell r="D1123" t="str">
            <v>AMIRI STAGGERED CAMERA CASE</v>
          </cell>
          <cell r="E1123" t="str">
            <v>100% POLYESTER, TRIM: BOVINE LEATHER, LINING: 100% NYLON</v>
          </cell>
          <cell r="F1123" t="str">
            <v>VN</v>
          </cell>
          <cell r="H1123">
            <v>60.52</v>
          </cell>
          <cell r="I1123">
            <v>4</v>
          </cell>
          <cell r="J1123">
            <v>242.08</v>
          </cell>
          <cell r="K1123">
            <v>4202923131</v>
          </cell>
          <cell r="L1123" t="str">
            <v>4202.92.11.00.00</v>
          </cell>
        </row>
        <row r="1124">
          <cell r="B1124" t="str">
            <v>AMDNBN1007</v>
          </cell>
          <cell r="C1124" t="str">
            <v>Denim</v>
          </cell>
          <cell r="D1124" t="str">
            <v>BANDANA JACQUARD PANELED BLOUSON</v>
          </cell>
          <cell r="E1124" t="str">
            <v>100% COTTON</v>
          </cell>
          <cell r="F1124" t="str">
            <v>IT</v>
          </cell>
          <cell r="H1124">
            <v>185</v>
          </cell>
          <cell r="I1124">
            <v>8</v>
          </cell>
          <cell r="J1124">
            <v>1480</v>
          </cell>
          <cell r="K1124" t="str">
            <v>6201308031</v>
          </cell>
          <cell r="L1124" t="str">
            <v>6201.30.10.00.12</v>
          </cell>
        </row>
        <row r="1125">
          <cell r="B1125" t="str">
            <v>AMBGCM1019</v>
          </cell>
          <cell r="C1125" t="str">
            <v>Bags</v>
          </cell>
          <cell r="D1125" t="str">
            <v>MA CAMERA CASE</v>
          </cell>
          <cell r="E1125" t="str">
            <v>100% POLYESTER, TRIM: BOVINE LEATHER, LINING: 100% NYLON</v>
          </cell>
          <cell r="F1125" t="str">
            <v>VN</v>
          </cell>
          <cell r="H1125">
            <v>59.31</v>
          </cell>
          <cell r="I1125">
            <v>4</v>
          </cell>
          <cell r="J1125">
            <v>237.24</v>
          </cell>
          <cell r="K1125" t="str">
            <v>4202923131</v>
          </cell>
          <cell r="L1125" t="str">
            <v>4202.92.11.00.00</v>
          </cell>
        </row>
        <row r="1126">
          <cell r="B1126" t="str">
            <v>AMJYTE1126</v>
          </cell>
          <cell r="C1126" t="str">
            <v>Jersey</v>
          </cell>
          <cell r="D1126" t="str">
            <v>MA HOLLYWOOD OVERSIZED TEE</v>
          </cell>
          <cell r="E1126" t="str">
            <v>100% COTTON</v>
          </cell>
          <cell r="F1126" t="str">
            <v>IT</v>
          </cell>
          <cell r="H1126">
            <v>66</v>
          </cell>
          <cell r="I1126">
            <v>2</v>
          </cell>
          <cell r="J1126">
            <v>132</v>
          </cell>
          <cell r="K1126" t="str">
            <v>6109100012</v>
          </cell>
          <cell r="L1126" t="str">
            <v>6109.10.00.00.00</v>
          </cell>
        </row>
        <row r="1127">
          <cell r="B1127" t="str">
            <v>AMDNOS1010</v>
          </cell>
          <cell r="C1127" t="str">
            <v>Denim</v>
          </cell>
          <cell r="D1127" t="str">
            <v>MA QUAD JACQUARD OVERSHIRT</v>
          </cell>
          <cell r="E1127" t="str">
            <v>100% COTTON</v>
          </cell>
          <cell r="F1127" t="str">
            <v>IT</v>
          </cell>
          <cell r="H1127">
            <v>169</v>
          </cell>
          <cell r="I1127">
            <v>7</v>
          </cell>
          <cell r="J1127">
            <v>1183</v>
          </cell>
          <cell r="K1127" t="str">
            <v>6105100010</v>
          </cell>
          <cell r="L1127" t="str">
            <v>6105.10.00.00.00</v>
          </cell>
        </row>
        <row r="1128">
          <cell r="B1128" t="str">
            <v>AMBGCM1016</v>
          </cell>
          <cell r="C1128" t="str">
            <v>Bags</v>
          </cell>
          <cell r="D1128" t="str">
            <v>THREE STAR CAMERA CASE</v>
          </cell>
          <cell r="E1128" t="str">
            <v>100% POLYESTER, TRIM: BOVINE LEATHER, LINING: 100% NYLON</v>
          </cell>
          <cell r="F1128" t="str">
            <v>VN</v>
          </cell>
          <cell r="H1128">
            <v>68.2</v>
          </cell>
          <cell r="I1128">
            <v>4</v>
          </cell>
          <cell r="J1128">
            <v>272.8</v>
          </cell>
          <cell r="K1128" t="str">
            <v>4202923131</v>
          </cell>
          <cell r="L1128" t="str">
            <v>4202.92.11.00.00</v>
          </cell>
        </row>
        <row r="1129">
          <cell r="B1129" t="str">
            <v>W54184R</v>
          </cell>
          <cell r="C1129" t="str">
            <v>Women's Leggings</v>
          </cell>
          <cell r="D1129" t="str">
            <v>Black</v>
          </cell>
          <cell r="E1129" t="str">
            <v>77%POLYESTER  23%ELASTANE&gt;E ...</v>
          </cell>
          <cell r="F1129" t="str">
            <v>VN</v>
          </cell>
          <cell r="H1129">
            <v>13.9</v>
          </cell>
          <cell r="I1129">
            <v>52</v>
          </cell>
          <cell r="J1129">
            <v>722.8</v>
          </cell>
          <cell r="K1129" t="str">
            <v>6104.63.2006</v>
          </cell>
          <cell r="L1129" t="str">
            <v>6115.22.00.00.00</v>
          </cell>
        </row>
        <row r="1130">
          <cell r="B1130" t="str">
            <v>W54184R</v>
          </cell>
          <cell r="C1130" t="str">
            <v>Women's Leggings</v>
          </cell>
          <cell r="D1130" t="str">
            <v>Mushroom</v>
          </cell>
          <cell r="E1130" t="str">
            <v>77%POLYESTER  23%ELASTANE&gt;E ...</v>
          </cell>
          <cell r="F1130" t="str">
            <v>VN</v>
          </cell>
          <cell r="H1130">
            <v>13.9</v>
          </cell>
          <cell r="I1130">
            <v>38</v>
          </cell>
          <cell r="J1130">
            <v>528.20000000000005</v>
          </cell>
          <cell r="K1130" t="str">
            <v>6104.63.2006</v>
          </cell>
          <cell r="L1130" t="str">
            <v>6115.22.00.00.00</v>
          </cell>
        </row>
        <row r="1131">
          <cell r="B1131" t="str">
            <v>W3903R</v>
          </cell>
          <cell r="C1131" t="str">
            <v>Women's Long Sleeve Tops</v>
          </cell>
          <cell r="D1131" t="str">
            <v>White</v>
          </cell>
          <cell r="E1131" t="str">
            <v>93%MODAL 7%ELASTANE</v>
          </cell>
          <cell r="F1131" t="str">
            <v>VN</v>
          </cell>
          <cell r="H1131">
            <v>10.55</v>
          </cell>
          <cell r="I1131">
            <v>40</v>
          </cell>
          <cell r="J1131">
            <v>422</v>
          </cell>
          <cell r="K1131" t="str">
            <v>6110.30.3059</v>
          </cell>
          <cell r="L1131" t="str">
            <v>6110.30.99.00.00</v>
          </cell>
        </row>
        <row r="1132">
          <cell r="B1132" t="str">
            <v>W3903R</v>
          </cell>
          <cell r="C1132" t="str">
            <v>Women's Long Sleeve Tops</v>
          </cell>
          <cell r="D1132" t="str">
            <v>Black</v>
          </cell>
          <cell r="E1132" t="str">
            <v>93%MODAL 7%ELASTANE</v>
          </cell>
          <cell r="F1132" t="str">
            <v>VN</v>
          </cell>
          <cell r="H1132">
            <v>10.55</v>
          </cell>
          <cell r="I1132">
            <v>46</v>
          </cell>
          <cell r="J1132">
            <v>485.3</v>
          </cell>
          <cell r="K1132" t="str">
            <v>6110.30.3059</v>
          </cell>
          <cell r="L1132" t="str">
            <v>6110.30.99.00.00</v>
          </cell>
        </row>
        <row r="1133">
          <cell r="B1133" t="str">
            <v>W1473R</v>
          </cell>
          <cell r="C1133" t="str">
            <v>Women's Short Sleeve Tops</v>
          </cell>
          <cell r="D1133" t="str">
            <v>White</v>
          </cell>
          <cell r="E1133" t="str">
            <v>86%POLYESTER 14%ELASTANE&gt;E ...</v>
          </cell>
          <cell r="F1133" t="str">
            <v>VN</v>
          </cell>
          <cell r="H1133">
            <v>5.21</v>
          </cell>
          <cell r="I1133">
            <v>42</v>
          </cell>
          <cell r="J1133">
            <v>218.82</v>
          </cell>
          <cell r="K1133" t="str">
            <v>6114.30.1020</v>
          </cell>
          <cell r="L1133" t="str">
            <v>6114.30.00.00.11</v>
          </cell>
        </row>
        <row r="1134">
          <cell r="B1134" t="str">
            <v>W1473R</v>
          </cell>
          <cell r="C1134" t="str">
            <v>Women's Short Sleeve Tops</v>
          </cell>
          <cell r="D1134" t="str">
            <v>Black</v>
          </cell>
          <cell r="E1134" t="str">
            <v>86%POLYESTER 14%ELASTANE&gt;E ...</v>
          </cell>
          <cell r="F1134" t="str">
            <v>VN</v>
          </cell>
          <cell r="H1134">
            <v>5.21</v>
          </cell>
          <cell r="I1134">
            <v>51</v>
          </cell>
          <cell r="J1134">
            <v>265.70999999999998</v>
          </cell>
          <cell r="K1134" t="str">
            <v>6114.30.1020</v>
          </cell>
          <cell r="L1134" t="str">
            <v>6114.30.00.00.11</v>
          </cell>
        </row>
        <row r="1135">
          <cell r="B1135" t="str">
            <v>W54187R</v>
          </cell>
          <cell r="C1135" t="str">
            <v>Women's Trousers</v>
          </cell>
          <cell r="D1135" t="str">
            <v>Black</v>
          </cell>
          <cell r="E1135" t="str">
            <v>86%POLYESTER 14%ELASTANE&gt;E ...</v>
          </cell>
          <cell r="F1135" t="str">
            <v>VN</v>
          </cell>
          <cell r="H1135">
            <v>15.76</v>
          </cell>
          <cell r="I1135">
            <v>70</v>
          </cell>
          <cell r="J1135">
            <v>1103.2</v>
          </cell>
          <cell r="K1135" t="str">
            <v>6204.63.9010</v>
          </cell>
          <cell r="L1135" t="str">
            <v>6204.63.18.00.00</v>
          </cell>
        </row>
        <row r="1136">
          <cell r="B1136" t="str">
            <v>W54138R</v>
          </cell>
          <cell r="C1136" t="str">
            <v>Women's Trousers</v>
          </cell>
          <cell r="D1136" t="str">
            <v>Black</v>
          </cell>
          <cell r="E1136" t="str">
            <v>86%POLYESTER  14%ELASTANE</v>
          </cell>
          <cell r="F1136" t="str">
            <v>VN</v>
          </cell>
          <cell r="H1136">
            <v>29.34</v>
          </cell>
          <cell r="I1136">
            <v>89</v>
          </cell>
          <cell r="J1136">
            <v>2611.2600000000002</v>
          </cell>
          <cell r="K1136" t="str">
            <v>6204.63.9011</v>
          </cell>
          <cell r="L1136" t="str">
            <v>6204.63.18.00.00</v>
          </cell>
        </row>
        <row r="1137">
          <cell r="B1137" t="str">
            <v>W54138R</v>
          </cell>
          <cell r="C1137" t="str">
            <v>Women's Trousers</v>
          </cell>
          <cell r="D1137" t="str">
            <v>Mushroom</v>
          </cell>
          <cell r="E1137" t="str">
            <v>86%POLYESTER  14%ELASTANE</v>
          </cell>
          <cell r="F1137" t="str">
            <v>VN</v>
          </cell>
          <cell r="H1137">
            <v>29.34</v>
          </cell>
          <cell r="I1137">
            <v>50</v>
          </cell>
          <cell r="J1137">
            <v>1467</v>
          </cell>
          <cell r="K1137" t="str">
            <v>6204.63.9011</v>
          </cell>
          <cell r="L1137" t="str">
            <v>6204.63.18.00.00</v>
          </cell>
        </row>
        <row r="1138">
          <cell r="B1138" t="str">
            <v>W6405R</v>
          </cell>
          <cell r="C1138" t="str">
            <v>Women's Shorts</v>
          </cell>
          <cell r="D1138" t="str">
            <v>Black</v>
          </cell>
          <cell r="E1138" t="str">
            <v>BODY: 100%POLYESTER&gt;CONTRA ...</v>
          </cell>
          <cell r="F1138" t="str">
            <v>VN</v>
          </cell>
          <cell r="H1138">
            <v>9.99</v>
          </cell>
          <cell r="I1138">
            <v>28</v>
          </cell>
          <cell r="J1138">
            <v>279.72000000000003</v>
          </cell>
          <cell r="K1138" t="str">
            <v>6204.63.9032</v>
          </cell>
          <cell r="L1138" t="str">
            <v>6204.63.18.00.00</v>
          </cell>
        </row>
        <row r="1139">
          <cell r="B1139" t="str">
            <v>W9831R</v>
          </cell>
          <cell r="C1139" t="str">
            <v>Women's Bras</v>
          </cell>
          <cell r="D1139" t="str">
            <v>Black</v>
          </cell>
          <cell r="E1139" t="str">
            <v>BODY: 77%POLYESTER 23%ELAST...</v>
          </cell>
          <cell r="F1139" t="str">
            <v>VN</v>
          </cell>
          <cell r="H1139">
            <v>11.1</v>
          </cell>
          <cell r="I1139">
            <v>46</v>
          </cell>
          <cell r="J1139">
            <v>510.6</v>
          </cell>
          <cell r="K1139" t="str">
            <v>6212.10.9020</v>
          </cell>
          <cell r="L1139" t="str">
            <v>6212.10.90.00.00</v>
          </cell>
        </row>
        <row r="1140">
          <cell r="B1140" t="str">
            <v>W9831R</v>
          </cell>
          <cell r="C1140" t="str">
            <v>Women's Bras</v>
          </cell>
          <cell r="D1140" t="str">
            <v>Ivory</v>
          </cell>
          <cell r="E1140" t="str">
            <v>BODY: 77%POLYESTER 23%ELAST...</v>
          </cell>
          <cell r="F1140" t="str">
            <v>VN</v>
          </cell>
          <cell r="H1140">
            <v>11.24</v>
          </cell>
          <cell r="I1140">
            <v>35</v>
          </cell>
          <cell r="J1140">
            <v>393.4</v>
          </cell>
          <cell r="K1140" t="str">
            <v>6212.10.9020</v>
          </cell>
          <cell r="L1140" t="str">
            <v>6212.10.90.00.00</v>
          </cell>
        </row>
        <row r="1141">
          <cell r="B1141" t="str">
            <v>W9799R</v>
          </cell>
          <cell r="C1141" t="str">
            <v>Women's Tanks</v>
          </cell>
          <cell r="D1141" t="str">
            <v>Black</v>
          </cell>
          <cell r="E1141" t="str">
            <v>BODY: 77%POLYESTER 23%ELAST…</v>
          </cell>
          <cell r="F1141" t="str">
            <v>VN</v>
          </cell>
          <cell r="H1141">
            <v>11.6</v>
          </cell>
          <cell r="I1141">
            <v>18</v>
          </cell>
          <cell r="J1141">
            <v>208.8</v>
          </cell>
          <cell r="K1141" t="str">
            <v>6212.10.9020</v>
          </cell>
          <cell r="L1141" t="str">
            <v>6212.10.90.00.00</v>
          </cell>
        </row>
        <row r="1142">
          <cell r="B1142" t="str">
            <v>A0363U</v>
          </cell>
          <cell r="C1142" t="str">
            <v>Accessory - Equipment</v>
          </cell>
          <cell r="D1142" t="str">
            <v>Black</v>
          </cell>
          <cell r="E1142" t="str">
            <v>BODY: 84%POLYESTER 16%ELAST...</v>
          </cell>
          <cell r="F1142" t="str">
            <v>CN</v>
          </cell>
          <cell r="H1142">
            <v>7.06</v>
          </cell>
          <cell r="I1142">
            <v>20</v>
          </cell>
          <cell r="J1142">
            <v>141.19999999999999</v>
          </cell>
          <cell r="K1142" t="str">
            <v>6116.93.8800</v>
          </cell>
          <cell r="L1142" t="str">
            <v>6116.93.00.00.00</v>
          </cell>
        </row>
        <row r="1143">
          <cell r="B1143" t="str">
            <v>U3048R</v>
          </cell>
          <cell r="C1143" t="str">
            <v>Unisex Cover Ups</v>
          </cell>
          <cell r="D1143" t="str">
            <v>Athletic Heather Grey Tonal</v>
          </cell>
          <cell r="E1143" t="str">
            <v>BODY: 65%COTION 35%POLYESTE...</v>
          </cell>
          <cell r="F1143" t="str">
            <v>ID</v>
          </cell>
          <cell r="H1143">
            <v>19.760000000000002</v>
          </cell>
          <cell r="I1143">
            <v>34</v>
          </cell>
          <cell r="J1143">
            <v>671.84</v>
          </cell>
          <cell r="K1143" t="str">
            <v>6110.20.2020</v>
          </cell>
          <cell r="L1143" t="str">
            <v>6110.20.99.00.00</v>
          </cell>
        </row>
        <row r="1144">
          <cell r="B1144" t="str">
            <v>U3048R</v>
          </cell>
          <cell r="C1144" t="str">
            <v>Unisex Cover Ups</v>
          </cell>
          <cell r="D1144" t="str">
            <v>Dark Heather Grey Tonal</v>
          </cell>
          <cell r="E1144" t="str">
            <v>BODY: 65%COTION 35%POLYESTE...</v>
          </cell>
          <cell r="F1144" t="str">
            <v>ID</v>
          </cell>
          <cell r="H1144">
            <v>20.09</v>
          </cell>
          <cell r="I1144">
            <v>42</v>
          </cell>
          <cell r="J1144">
            <v>843.78</v>
          </cell>
          <cell r="K1144" t="str">
            <v>6110.20.2020</v>
          </cell>
          <cell r="L1144" t="str">
            <v>6110.20.99.00.00</v>
          </cell>
        </row>
        <row r="1145">
          <cell r="B1145" t="str">
            <v>W9815R</v>
          </cell>
          <cell r="C1145" t="str">
            <v>Women's Tanks</v>
          </cell>
          <cell r="D1145" t="str">
            <v>White</v>
          </cell>
          <cell r="E1145" t="str">
            <v>BODY: 47%MODAL 47%COTION 6...</v>
          </cell>
          <cell r="F1145" t="str">
            <v>VN</v>
          </cell>
          <cell r="H1145">
            <v>11.41</v>
          </cell>
          <cell r="I1145">
            <v>51</v>
          </cell>
          <cell r="J1145">
            <v>581.91</v>
          </cell>
          <cell r="K1145" t="str">
            <v>6114.30.1020</v>
          </cell>
          <cell r="L1145" t="str">
            <v>6114.30.00.00.11</v>
          </cell>
        </row>
        <row r="1146">
          <cell r="B1146" t="str">
            <v>W9815R</v>
          </cell>
          <cell r="C1146" t="str">
            <v>Women's Tanks</v>
          </cell>
          <cell r="D1146" t="str">
            <v>Black</v>
          </cell>
          <cell r="E1146" t="str">
            <v>BODY: 47%MODAL 47%COTION 6...</v>
          </cell>
          <cell r="F1146" t="str">
            <v>VN</v>
          </cell>
          <cell r="H1146">
            <v>11.41</v>
          </cell>
          <cell r="I1146">
            <v>51</v>
          </cell>
          <cell r="J1146">
            <v>581.91</v>
          </cell>
          <cell r="K1146" t="str">
            <v>6114.30.1020</v>
          </cell>
          <cell r="L1146" t="str">
            <v>6114.30.00.00.11</v>
          </cell>
        </row>
        <row r="1147">
          <cell r="B1147" t="str">
            <v>W4675R</v>
          </cell>
          <cell r="C1147" t="str">
            <v>Women's Outerwear</v>
          </cell>
          <cell r="D1147" t="str">
            <v>Black</v>
          </cell>
          <cell r="E1147" t="str">
            <v>SHELL:   100%NYLON&gt;LINING:100%P...</v>
          </cell>
          <cell r="F1147" t="str">
            <v>VN</v>
          </cell>
          <cell r="H1147">
            <v>62.21</v>
          </cell>
          <cell r="I1147">
            <v>10</v>
          </cell>
          <cell r="J1147">
            <v>622.1</v>
          </cell>
          <cell r="K1147" t="str">
            <v>6202.40.2005</v>
          </cell>
          <cell r="L1147" t="str">
            <v>6202.40.10.00.11</v>
          </cell>
        </row>
        <row r="1148">
          <cell r="B1148" t="str">
            <v>W4656R</v>
          </cell>
          <cell r="C1148" t="str">
            <v>Women's Outerwear</v>
          </cell>
          <cell r="D1148" t="str">
            <v>Black</v>
          </cell>
          <cell r="E1148" t="str">
            <v>MAIN BODY: 100%NYLON&gt;PANEL: ...</v>
          </cell>
          <cell r="F1148" t="str">
            <v>VN</v>
          </cell>
          <cell r="H1148">
            <v>33.619999999999997</v>
          </cell>
          <cell r="I1148">
            <v>47</v>
          </cell>
          <cell r="J1148">
            <v>1580.14</v>
          </cell>
          <cell r="K1148" t="str">
            <v>6202.40.7511</v>
          </cell>
          <cell r="L1148" t="str">
            <v>6202.40.10.00.11</v>
          </cell>
        </row>
        <row r="1149">
          <cell r="B1149" t="str">
            <v>AMDNGH1060</v>
          </cell>
          <cell r="C1149" t="str">
            <v>Denim</v>
          </cell>
          <cell r="E1149" t="str">
            <v>100% COTTON</v>
          </cell>
          <cell r="F1149" t="str">
            <v>IT</v>
          </cell>
          <cell r="I1149">
            <v>10</v>
          </cell>
          <cell r="J1149">
            <v>1459.5</v>
          </cell>
          <cell r="K1149">
            <v>62034231</v>
          </cell>
          <cell r="L1149" t="str">
            <v>6203.42.31.00.00</v>
          </cell>
        </row>
        <row r="1150">
          <cell r="B1150" t="str">
            <v>AMDNGH1064</v>
          </cell>
          <cell r="C1150" t="str">
            <v>Denim</v>
          </cell>
          <cell r="E1150" t="str">
            <v>100% COTTON</v>
          </cell>
          <cell r="F1150" t="str">
            <v>IT</v>
          </cell>
          <cell r="I1150">
            <v>8</v>
          </cell>
          <cell r="J1150">
            <v>1335.6</v>
          </cell>
          <cell r="K1150">
            <v>62034235</v>
          </cell>
          <cell r="L1150" t="str">
            <v>6203.42.31.00.00</v>
          </cell>
        </row>
        <row r="1151">
          <cell r="B1151" t="str">
            <v>AMDNOS1012</v>
          </cell>
          <cell r="C1151" t="str">
            <v>Denim</v>
          </cell>
          <cell r="E1151" t="str">
            <v>100% COTTON</v>
          </cell>
          <cell r="F1151" t="str">
            <v>IT</v>
          </cell>
          <cell r="I1151">
            <v>7</v>
          </cell>
          <cell r="J1151">
            <v>1146.5999999999999</v>
          </cell>
          <cell r="K1151">
            <v>61051000</v>
          </cell>
          <cell r="L1151" t="str">
            <v>6105.10.00.00.00</v>
          </cell>
        </row>
        <row r="1152">
          <cell r="B1152" t="str">
            <v>AMDNSY1111</v>
          </cell>
          <cell r="C1152" t="str">
            <v>Denim</v>
          </cell>
          <cell r="E1152" t="str">
            <v>92% COTTON 6% ELASTOMULTIESTERE 2% ELASTANE</v>
          </cell>
          <cell r="F1152" t="str">
            <v>IT</v>
          </cell>
          <cell r="I1152">
            <v>9</v>
          </cell>
          <cell r="J1152">
            <v>1247.4000000000001</v>
          </cell>
          <cell r="K1152">
            <v>62034231</v>
          </cell>
          <cell r="L1152" t="str">
            <v>6203.42.31.00.00</v>
          </cell>
        </row>
        <row r="1153">
          <cell r="B1153" t="str">
            <v>AMKNIR1009</v>
          </cell>
          <cell r="C1153" t="str">
            <v>Knitwear</v>
          </cell>
          <cell r="E1153" t="str">
            <v>100% WOOL</v>
          </cell>
          <cell r="F1153" t="str">
            <v>IT</v>
          </cell>
          <cell r="I1153">
            <v>11</v>
          </cell>
          <cell r="J1153">
            <v>1640.1</v>
          </cell>
          <cell r="K1153">
            <v>61059010</v>
          </cell>
          <cell r="L1153" t="str">
            <v>6105.90.10.00.00</v>
          </cell>
        </row>
        <row r="1154">
          <cell r="B1154" t="str">
            <v>AMSHCA1056</v>
          </cell>
          <cell r="C1154" t="str">
            <v>Shorts</v>
          </cell>
          <cell r="E1154" t="str">
            <v>100% VISCOSE</v>
          </cell>
          <cell r="F1154" t="str">
            <v>IT</v>
          </cell>
          <cell r="I1154">
            <v>5</v>
          </cell>
          <cell r="J1154">
            <v>351.75</v>
          </cell>
          <cell r="K1154">
            <v>62034950</v>
          </cell>
          <cell r="L1154" t="str">
            <v>6203.49.19.00.00</v>
          </cell>
        </row>
        <row r="1155">
          <cell r="B1155" t="str">
            <v>AMSTFL1010</v>
          </cell>
          <cell r="C1155" t="str">
            <v>Shirts</v>
          </cell>
          <cell r="E1155" t="str">
            <v>100% COTTON</v>
          </cell>
          <cell r="F1155" t="str">
            <v>IT</v>
          </cell>
          <cell r="I1155">
            <v>10</v>
          </cell>
          <cell r="J1155">
            <v>1249.5</v>
          </cell>
          <cell r="K1155">
            <v>62052000</v>
          </cell>
          <cell r="L1155" t="str">
            <v>6205.20.00.00.18</v>
          </cell>
        </row>
        <row r="1156">
          <cell r="B1156" t="str">
            <v>AMTAHD1008</v>
          </cell>
          <cell r="C1156" t="str">
            <v>Tapestry</v>
          </cell>
          <cell r="E1156" t="str">
            <v>100% COTTON</v>
          </cell>
          <cell r="F1156" t="str">
            <v>IT</v>
          </cell>
          <cell r="I1156">
            <v>3</v>
          </cell>
          <cell r="J1156">
            <v>654.9</v>
          </cell>
          <cell r="K1156">
            <v>61102091</v>
          </cell>
          <cell r="L1156" t="str">
            <v>6110.20.91.00.00</v>
          </cell>
        </row>
        <row r="1157">
          <cell r="B1157" t="str">
            <v>AMTAOS1003</v>
          </cell>
          <cell r="C1157" t="str">
            <v>Tapestry</v>
          </cell>
          <cell r="E1157" t="str">
            <v>100% COTTON</v>
          </cell>
          <cell r="F1157" t="str">
            <v>IT</v>
          </cell>
          <cell r="I1157">
            <v>2</v>
          </cell>
          <cell r="J1157">
            <v>639.98</v>
          </cell>
          <cell r="K1157">
            <v>61051000</v>
          </cell>
          <cell r="L1157" t="str">
            <v>6105.10.00.00.00</v>
          </cell>
        </row>
        <row r="1158">
          <cell r="B1158" t="str">
            <v>AMDNSY1143</v>
          </cell>
          <cell r="C1158" t="str">
            <v>Denim</v>
          </cell>
          <cell r="E1158" t="str">
            <v>92% COTTON 6% ELASTOMULTIESTERE 2% ELASTANE</v>
          </cell>
          <cell r="F1158" t="str">
            <v>IT</v>
          </cell>
          <cell r="I1158">
            <v>5</v>
          </cell>
          <cell r="J1158">
            <v>1517.25</v>
          </cell>
          <cell r="K1158">
            <v>62034231</v>
          </cell>
          <cell r="L1158" t="str">
            <v>6203.42.31.00.00</v>
          </cell>
        </row>
        <row r="1159">
          <cell r="B1159" t="str">
            <v>AMKNIR1009</v>
          </cell>
          <cell r="C1159" t="str">
            <v>Knitwear</v>
          </cell>
          <cell r="E1159" t="str">
            <v>100% WOOL</v>
          </cell>
          <cell r="F1159" t="str">
            <v>IT</v>
          </cell>
          <cell r="I1159">
            <v>1</v>
          </cell>
          <cell r="J1159">
            <v>149.1</v>
          </cell>
          <cell r="K1159">
            <v>61059010</v>
          </cell>
          <cell r="L1159" t="str">
            <v>6105.90.10.00.00</v>
          </cell>
        </row>
        <row r="1160">
          <cell r="B1160" t="str">
            <v>AMFOSR1095</v>
          </cell>
          <cell r="C1160" t="str">
            <v>Footwear</v>
          </cell>
          <cell r="E1160" t="str">
            <v>UPPER 1: 100% COTTON, UPPER 2: 100% COW LEATHER, LINING: 80% COTTON+20%POLYESTER FOOTBED:100% POLYESTER, OUTSOLE:100% RUBBER</v>
          </cell>
          <cell r="F1160" t="str">
            <v>VN</v>
          </cell>
          <cell r="I1160">
            <v>2</v>
          </cell>
          <cell r="J1160">
            <v>201.32</v>
          </cell>
          <cell r="K1160">
            <v>64041100</v>
          </cell>
          <cell r="L1160" t="str">
            <v>6404.11.00.00.00</v>
          </cell>
        </row>
        <row r="1161">
          <cell r="B1161" t="str">
            <v>AMFOSR1095</v>
          </cell>
          <cell r="C1161" t="str">
            <v>Footwear</v>
          </cell>
          <cell r="E1161" t="str">
            <v>UPPER 1: 100% COTTON, UPPER 2: 100% COW LEATHER, LINING: 80% COTTON+20%POLYESTER FOOTBED:100% POLYESTER, OUTSOLE:100% RUBBER</v>
          </cell>
          <cell r="F1161" t="str">
            <v>VN</v>
          </cell>
          <cell r="I1161">
            <v>9</v>
          </cell>
          <cell r="J1161">
            <v>905.97</v>
          </cell>
          <cell r="K1161">
            <v>64041100</v>
          </cell>
          <cell r="L1161" t="str">
            <v>6404.11.00.00.00</v>
          </cell>
        </row>
        <row r="1162">
          <cell r="B1162" t="str">
            <v>AMFOSR1095</v>
          </cell>
          <cell r="C1162" t="str">
            <v>Footwear</v>
          </cell>
          <cell r="E1162" t="str">
            <v>UPPER 1: 100% COTTON, UPPER 2: 100% COW LEATHER, LINING: 80% COTTON+20%POLYESTER FOOTBED:100% POLYESTER, OUTSOLE:100% RUBBER</v>
          </cell>
          <cell r="F1162" t="str">
            <v>VN</v>
          </cell>
          <cell r="I1162">
            <v>4</v>
          </cell>
          <cell r="J1162">
            <v>402.66</v>
          </cell>
          <cell r="K1162">
            <v>64041100</v>
          </cell>
          <cell r="L1162" t="str">
            <v>6404.11.00.00.00</v>
          </cell>
        </row>
        <row r="1163">
          <cell r="B1163" t="str">
            <v>AMFOSR1096</v>
          </cell>
          <cell r="C1163" t="str">
            <v>Footwear</v>
          </cell>
          <cell r="E1163" t="str">
            <v>UPPER 1: 100% COTON, UPPER 2: BOVINE LEATHER, LINING: 100% POLYESTER, OUTSOLE: 100% RUBBER</v>
          </cell>
          <cell r="F1163" t="str">
            <v>VN</v>
          </cell>
          <cell r="I1163">
            <v>15</v>
          </cell>
          <cell r="J1163">
            <v>1221.75</v>
          </cell>
          <cell r="K1163">
            <v>64042090</v>
          </cell>
          <cell r="L1163" t="str">
            <v>6404.11.00.00.00</v>
          </cell>
        </row>
        <row r="1164">
          <cell r="B1164" t="str">
            <v>AMHACP1032</v>
          </cell>
          <cell r="C1164" t="str">
            <v>Headwear</v>
          </cell>
          <cell r="E1164" t="str">
            <v>100% POLYESTER, TRIM: BOVINE LEATHER, LINING: 100% NYLON</v>
          </cell>
          <cell r="F1164" t="str">
            <v>IT</v>
          </cell>
          <cell r="I1164">
            <v>26</v>
          </cell>
          <cell r="J1164">
            <v>1064.7</v>
          </cell>
          <cell r="K1164">
            <v>65050010</v>
          </cell>
          <cell r="L1164" t="str">
            <v>6505.00.10.00.00</v>
          </cell>
        </row>
        <row r="1165">
          <cell r="B1165" t="str">
            <v>AWFOSR1071</v>
          </cell>
          <cell r="C1165" t="str">
            <v>Footwear</v>
          </cell>
          <cell r="E1165" t="str">
            <v>UPPER 1: 51% POLYESTER+49% COTTON, UPPER 2: 100% POLYESTER, LINING: 80% COTTON+20%POLYESTER FOOTBED:100% POLYESTER, OUTSOLE : 100% RUBBER</v>
          </cell>
          <cell r="F1165" t="str">
            <v>VN</v>
          </cell>
          <cell r="I1165">
            <v>6</v>
          </cell>
          <cell r="J1165">
            <v>586.71</v>
          </cell>
          <cell r="K1165">
            <v>64021900</v>
          </cell>
          <cell r="L1165" t="str">
            <v>6402.19.00.00.00</v>
          </cell>
        </row>
        <row r="1166">
          <cell r="B1166" t="str">
            <v>AWFOSR1071</v>
          </cell>
          <cell r="C1166" t="str">
            <v>Footwear</v>
          </cell>
          <cell r="E1166" t="str">
            <v>UPPER 1: 51% POLYESTER+49% COTTON, UPPER 2: 100% POLYESTER, LINING: 80% COTTON+20%POLYESTER FOOTBED:100% POLYESTER, OUTSOLE : 100% RUBBER</v>
          </cell>
          <cell r="F1166" t="str">
            <v>VN</v>
          </cell>
          <cell r="I1166">
            <v>6</v>
          </cell>
          <cell r="J1166">
            <v>586.72</v>
          </cell>
          <cell r="K1166">
            <v>64021900</v>
          </cell>
          <cell r="L1166" t="str">
            <v>6402.19.00.00.00</v>
          </cell>
        </row>
        <row r="1167">
          <cell r="B1167" t="str">
            <v>AMHABY1011</v>
          </cell>
          <cell r="C1167" t="str">
            <v>Headwear</v>
          </cell>
          <cell r="E1167" t="str">
            <v>100% SILK</v>
          </cell>
          <cell r="F1167" t="str">
            <v>IT</v>
          </cell>
          <cell r="I1167">
            <v>5</v>
          </cell>
          <cell r="J1167">
            <v>257.25</v>
          </cell>
          <cell r="K1167">
            <v>65050030</v>
          </cell>
          <cell r="L1167" t="str">
            <v>6505.00.10.00.00</v>
          </cell>
        </row>
        <row r="1168">
          <cell r="B1168" t="str">
            <v>AMJYTE1181</v>
          </cell>
          <cell r="C1168" t="str">
            <v>Jersey</v>
          </cell>
          <cell r="E1168" t="str">
            <v>100% COTTON</v>
          </cell>
          <cell r="F1168" t="str">
            <v>IT</v>
          </cell>
          <cell r="I1168">
            <v>8</v>
          </cell>
          <cell r="J1168">
            <v>393.96</v>
          </cell>
          <cell r="K1168">
            <v>61091000</v>
          </cell>
          <cell r="L1168" t="str">
            <v>6109.10.00.00.00</v>
          </cell>
        </row>
        <row r="1169">
          <cell r="B1169" t="str">
            <v>AMJYTE1181</v>
          </cell>
          <cell r="C1169" t="str">
            <v>Jersey</v>
          </cell>
          <cell r="E1169" t="str">
            <v>100% COTTON</v>
          </cell>
          <cell r="F1169" t="str">
            <v>IT</v>
          </cell>
          <cell r="I1169">
            <v>6</v>
          </cell>
          <cell r="J1169">
            <v>295.48</v>
          </cell>
          <cell r="K1169">
            <v>61091000</v>
          </cell>
          <cell r="L1169" t="str">
            <v>6109.10.00.00.00</v>
          </cell>
        </row>
        <row r="1170">
          <cell r="B1170" t="str">
            <v>AMJYTE1181</v>
          </cell>
          <cell r="C1170" t="str">
            <v>Jersey</v>
          </cell>
          <cell r="E1170" t="str">
            <v>100% COTTON</v>
          </cell>
          <cell r="F1170" t="str">
            <v>IT</v>
          </cell>
          <cell r="I1170">
            <v>1</v>
          </cell>
          <cell r="J1170">
            <v>49.25</v>
          </cell>
          <cell r="K1170">
            <v>61091000</v>
          </cell>
          <cell r="L1170" t="str">
            <v>6109.10.00.00.00</v>
          </cell>
        </row>
        <row r="1171">
          <cell r="B1171" t="str">
            <v>AMKNPO1056</v>
          </cell>
          <cell r="C1171" t="str">
            <v>Knitwear</v>
          </cell>
          <cell r="E1171" t="str">
            <v>100%WV</v>
          </cell>
          <cell r="F1171" t="str">
            <v>IT</v>
          </cell>
          <cell r="I1171">
            <v>7</v>
          </cell>
          <cell r="J1171">
            <v>1117.2</v>
          </cell>
          <cell r="K1171">
            <v>61059010</v>
          </cell>
          <cell r="L1171" t="str">
            <v>6105.90.10.00.00</v>
          </cell>
        </row>
        <row r="1172">
          <cell r="B1172" t="str">
            <v>AMKNPO1058</v>
          </cell>
          <cell r="C1172" t="str">
            <v>Knitwear</v>
          </cell>
          <cell r="E1172" t="str">
            <v>100% VI</v>
          </cell>
          <cell r="F1172" t="str">
            <v>IT</v>
          </cell>
          <cell r="I1172">
            <v>12</v>
          </cell>
          <cell r="J1172">
            <v>1990.8</v>
          </cell>
          <cell r="K1172">
            <v>61052090</v>
          </cell>
          <cell r="L1172" t="str">
            <v>6105.20.90.00.00</v>
          </cell>
        </row>
        <row r="1173">
          <cell r="B1173" t="str">
            <v>AMKNTE1044</v>
          </cell>
          <cell r="C1173" t="str">
            <v>Knitwear</v>
          </cell>
          <cell r="E1173" t="str">
            <v>100%WV</v>
          </cell>
          <cell r="F1173" t="str">
            <v>IT</v>
          </cell>
          <cell r="I1173">
            <v>6</v>
          </cell>
          <cell r="J1173">
            <v>882</v>
          </cell>
          <cell r="K1173">
            <v>61099020</v>
          </cell>
          <cell r="L1173" t="str">
            <v>6109.90.90.00.00</v>
          </cell>
        </row>
        <row r="1174">
          <cell r="B1174" t="str">
            <v>AMOUBN1074</v>
          </cell>
          <cell r="C1174" t="str">
            <v>Outerwear</v>
          </cell>
          <cell r="E1174" t="str">
            <v>100% VISCOSE</v>
          </cell>
          <cell r="F1174" t="str">
            <v>IT</v>
          </cell>
          <cell r="I1174">
            <v>3</v>
          </cell>
          <cell r="J1174">
            <v>892.71</v>
          </cell>
          <cell r="K1174">
            <v>62014090</v>
          </cell>
          <cell r="L1174" t="str">
            <v>6201.40.90.00.11</v>
          </cell>
        </row>
        <row r="1175">
          <cell r="B1175" t="str">
            <v>AMSHCA1074</v>
          </cell>
          <cell r="C1175" t="str">
            <v>Shorts</v>
          </cell>
          <cell r="E1175" t="str">
            <v>100% VISCOSE</v>
          </cell>
          <cell r="F1175" t="str">
            <v>IT</v>
          </cell>
          <cell r="I1175">
            <v>6</v>
          </cell>
          <cell r="J1175">
            <v>814.59</v>
          </cell>
          <cell r="K1175">
            <v>62034950</v>
          </cell>
          <cell r="L1175" t="str">
            <v>6203.49.19.00.00</v>
          </cell>
        </row>
        <row r="1176">
          <cell r="B1176" t="str">
            <v>AMSHCA1074</v>
          </cell>
          <cell r="C1176" t="str">
            <v>Shorts</v>
          </cell>
          <cell r="E1176" t="str">
            <v>100% VISCOSE</v>
          </cell>
          <cell r="F1176" t="str">
            <v>IT</v>
          </cell>
          <cell r="I1176">
            <v>5</v>
          </cell>
          <cell r="J1176">
            <v>678.85</v>
          </cell>
          <cell r="K1176">
            <v>62034950</v>
          </cell>
          <cell r="L1176" t="str">
            <v>6203.49.19.00.00</v>
          </cell>
        </row>
        <row r="1177">
          <cell r="B1177" t="str">
            <v>AMSTCA1114</v>
          </cell>
          <cell r="C1177" t="str">
            <v>Shirts</v>
          </cell>
          <cell r="E1177" t="str">
            <v>100% VISCOSE</v>
          </cell>
          <cell r="F1177" t="str">
            <v>IT</v>
          </cell>
          <cell r="I1177">
            <v>8</v>
          </cell>
          <cell r="J1177">
            <v>816.48</v>
          </cell>
          <cell r="K1177">
            <v>62053000</v>
          </cell>
          <cell r="L1177" t="str">
            <v>6205.30.00.00.00</v>
          </cell>
        </row>
        <row r="1178">
          <cell r="B1178" t="str">
            <v>AMSTCA1127</v>
          </cell>
          <cell r="C1178" t="str">
            <v>Shirts</v>
          </cell>
          <cell r="E1178" t="str">
            <v>100% POLYESTER</v>
          </cell>
          <cell r="F1178" t="str">
            <v>IN</v>
          </cell>
          <cell r="I1178">
            <v>7</v>
          </cell>
          <cell r="J1178">
            <v>729.12</v>
          </cell>
          <cell r="K1178">
            <v>62053000</v>
          </cell>
          <cell r="L1178" t="str">
            <v>6205.30.00.00.00</v>
          </cell>
        </row>
        <row r="1179">
          <cell r="B1179" t="str">
            <v>AMSUFP1065</v>
          </cell>
          <cell r="C1179" t="str">
            <v>Suits</v>
          </cell>
          <cell r="E1179" t="str">
            <v>100% WOOL</v>
          </cell>
          <cell r="F1179" t="str">
            <v>IT</v>
          </cell>
          <cell r="I1179">
            <v>4</v>
          </cell>
          <cell r="J1179">
            <v>900.92</v>
          </cell>
          <cell r="K1179">
            <v>62034110</v>
          </cell>
          <cell r="L1179" t="str">
            <v>6205.30.00.00.00</v>
          </cell>
        </row>
        <row r="1180">
          <cell r="B1180" t="str">
            <v>W51312R</v>
          </cell>
          <cell r="C1180" t="str">
            <v>Women's Leggings</v>
          </cell>
          <cell r="D1180" t="str">
            <v>Anthracite</v>
          </cell>
          <cell r="E1180" t="str">
            <v>82%POLYESTER 18%ELASTANE</v>
          </cell>
          <cell r="F1180" t="str">
            <v>VN</v>
          </cell>
          <cell r="H1180">
            <v>15.34</v>
          </cell>
          <cell r="I1180">
            <v>20</v>
          </cell>
          <cell r="J1180">
            <v>306.8</v>
          </cell>
          <cell r="K1180" t="str">
            <v>6104.63.2006</v>
          </cell>
          <cell r="L1180" t="str">
            <v>6115.22.00.00.00</v>
          </cell>
        </row>
        <row r="1181">
          <cell r="B1181" t="str">
            <v>A0043W</v>
          </cell>
          <cell r="C1181" t="str">
            <v>Accessory - Socks</v>
          </cell>
          <cell r="D1181" t="str">
            <v>Athletic Heather Grey/Black</v>
          </cell>
          <cell r="E1181" t="str">
            <v>62% POLYESTER, 30% RAYON, 6% ...</v>
          </cell>
          <cell r="F1181" t="str">
            <v>TW</v>
          </cell>
          <cell r="H1181">
            <v>3.12</v>
          </cell>
          <cell r="I1181">
            <v>14</v>
          </cell>
          <cell r="J1181">
            <v>43.68</v>
          </cell>
          <cell r="K1181" t="str">
            <v>6115.95.9000</v>
          </cell>
          <cell r="L1181" t="str">
            <v>6115.95.00.00.00</v>
          </cell>
        </row>
        <row r="1182">
          <cell r="B1182" t="str">
            <v>A0043W</v>
          </cell>
          <cell r="C1182" t="str">
            <v>Accessory - Socks</v>
          </cell>
          <cell r="D1182" t="str">
            <v>Athletic Heather Grey/Black</v>
          </cell>
          <cell r="E1182" t="str">
            <v>62% POLYESTER, 30% RAYON, 6% ...</v>
          </cell>
          <cell r="F1182" t="str">
            <v>US</v>
          </cell>
          <cell r="H1182">
            <v>3.12</v>
          </cell>
          <cell r="I1182">
            <v>36</v>
          </cell>
          <cell r="J1182">
            <v>112.32</v>
          </cell>
          <cell r="K1182" t="str">
            <v>6115.95.9000</v>
          </cell>
          <cell r="L1182" t="str">
            <v>6115.95.00.00.00</v>
          </cell>
        </row>
        <row r="1183">
          <cell r="B1183" t="str">
            <v>A0636U</v>
          </cell>
          <cell r="C1183" t="str">
            <v>Accessory - Cold Weather</v>
          </cell>
          <cell r="D1183" t="str">
            <v>Oat</v>
          </cell>
          <cell r="E1183" t="str">
            <v>FAUX FUR &amp; LINING: 100%POLYES...</v>
          </cell>
          <cell r="F1183" t="str">
            <v>AQ</v>
          </cell>
          <cell r="H1183">
            <v>21.33</v>
          </cell>
          <cell r="I1183">
            <v>10</v>
          </cell>
          <cell r="J1183">
            <v>213.3</v>
          </cell>
          <cell r="K1183" t="str">
            <v>6117.80.8500</v>
          </cell>
          <cell r="L1183" t="str">
            <v>6117.80.80.00.00</v>
          </cell>
        </row>
        <row r="1184">
          <cell r="B1184" t="str">
            <v>M4166R</v>
          </cell>
          <cell r="C1184" t="str">
            <v>Men's Outerwear</v>
          </cell>
          <cell r="D1184" t="str">
            <v>Bone</v>
          </cell>
          <cell r="E1184" t="str">
            <v>100%NYLON&gt;EXCLUSIVE OF TRIMMING</v>
          </cell>
          <cell r="F1184" t="str">
            <v>VN</v>
          </cell>
          <cell r="H1184">
            <v>33.35</v>
          </cell>
          <cell r="I1184">
            <v>10</v>
          </cell>
          <cell r="J1184">
            <v>333.5</v>
          </cell>
          <cell r="K1184" t="str">
            <v>6201.40.7000</v>
          </cell>
          <cell r="L1184" t="str">
            <v>6201.40.90.00.11</v>
          </cell>
        </row>
        <row r="1185">
          <cell r="B1185" t="str">
            <v>AMDNGH1072</v>
          </cell>
          <cell r="C1185" t="str">
            <v>Pants</v>
          </cell>
          <cell r="E1185" t="str">
            <v>100% COTTON</v>
          </cell>
          <cell r="F1185" t="str">
            <v>IT</v>
          </cell>
          <cell r="I1185">
            <v>6</v>
          </cell>
          <cell r="J1185">
            <v>1116</v>
          </cell>
          <cell r="K1185">
            <v>6203424511</v>
          </cell>
          <cell r="L1185" t="str">
            <v>6203.42.35.00.00</v>
          </cell>
        </row>
        <row r="1186">
          <cell r="B1186" t="str">
            <v>AMJYCW1066</v>
          </cell>
          <cell r="C1186" t="str">
            <v>Tops</v>
          </cell>
          <cell r="E1186" t="str">
            <v>100% COTTON</v>
          </cell>
          <cell r="F1186" t="str">
            <v>IT</v>
          </cell>
          <cell r="I1186">
            <v>6</v>
          </cell>
          <cell r="J1186">
            <v>453</v>
          </cell>
          <cell r="K1186">
            <v>6110202041</v>
          </cell>
          <cell r="L1186" t="str">
            <v>6110.20.10.00.00</v>
          </cell>
        </row>
        <row r="1187">
          <cell r="B1187" t="str">
            <v>AMJYHD1109</v>
          </cell>
          <cell r="C1187" t="str">
            <v>Tops</v>
          </cell>
          <cell r="E1187" t="str">
            <v>100% COTTON</v>
          </cell>
          <cell r="F1187" t="str">
            <v>IT</v>
          </cell>
          <cell r="I1187">
            <v>6</v>
          </cell>
          <cell r="J1187">
            <v>723</v>
          </cell>
          <cell r="K1187">
            <v>6110201010</v>
          </cell>
          <cell r="L1187" t="str">
            <v>6110.20.10.00.00</v>
          </cell>
        </row>
        <row r="1188">
          <cell r="B1188" t="str">
            <v>AMJYSH1040</v>
          </cell>
          <cell r="C1188" t="str">
            <v>Shorts</v>
          </cell>
          <cell r="E1188" t="str">
            <v>100% COTTON</v>
          </cell>
          <cell r="F1188" t="str">
            <v>IT</v>
          </cell>
          <cell r="I1188">
            <v>8</v>
          </cell>
          <cell r="J1188">
            <v>560</v>
          </cell>
          <cell r="K1188">
            <v>6103421050</v>
          </cell>
          <cell r="L1188" t="str">
            <v>6103.42.00.00.00</v>
          </cell>
        </row>
        <row r="1189">
          <cell r="B1189" t="str">
            <v>AMJYTE1179</v>
          </cell>
          <cell r="C1189" t="str">
            <v>Tops</v>
          </cell>
          <cell r="E1189" t="str">
            <v>100% COTTON</v>
          </cell>
          <cell r="F1189" t="str">
            <v>IT</v>
          </cell>
          <cell r="I1189">
            <v>8</v>
          </cell>
          <cell r="J1189">
            <v>476</v>
          </cell>
          <cell r="K1189">
            <v>6109100012</v>
          </cell>
          <cell r="L1189" t="str">
            <v>6109.10.00.00.00</v>
          </cell>
        </row>
        <row r="1190">
          <cell r="B1190" t="str">
            <v>AMJYTE1179</v>
          </cell>
          <cell r="C1190" t="str">
            <v>Tops</v>
          </cell>
          <cell r="E1190" t="str">
            <v>100% COTTON</v>
          </cell>
          <cell r="F1190" t="str">
            <v>IT</v>
          </cell>
          <cell r="I1190">
            <v>20</v>
          </cell>
          <cell r="J1190">
            <v>1250</v>
          </cell>
          <cell r="K1190">
            <v>6109100012</v>
          </cell>
          <cell r="L1190" t="str">
            <v>6109.10.00.00.00</v>
          </cell>
        </row>
        <row r="1191">
          <cell r="B1191" t="str">
            <v>AMKNPO1057</v>
          </cell>
          <cell r="C1191" t="str">
            <v>Tops</v>
          </cell>
          <cell r="E1191" t="str">
            <v>50% WOOL 50% POLYAMIDE</v>
          </cell>
          <cell r="F1191" t="str">
            <v>IT</v>
          </cell>
          <cell r="I1191">
            <v>5</v>
          </cell>
          <cell r="J1191">
            <v>880</v>
          </cell>
          <cell r="K1191">
            <v>6105901000</v>
          </cell>
          <cell r="L1191" t="str">
            <v>6105.90.10.00.00</v>
          </cell>
        </row>
        <row r="1192">
          <cell r="B1192" t="str">
            <v>AMKNTE1036</v>
          </cell>
          <cell r="C1192" t="str">
            <v>Tops</v>
          </cell>
          <cell r="E1192" t="str">
            <v>68% VISCOSE 32% POLYESTER</v>
          </cell>
          <cell r="F1192" t="str">
            <v>IT</v>
          </cell>
          <cell r="I1192">
            <v>4</v>
          </cell>
          <cell r="J1192">
            <v>712</v>
          </cell>
          <cell r="K1192">
            <v>6109908010</v>
          </cell>
          <cell r="L1192" t="str">
            <v>6109.90.20.00.12</v>
          </cell>
        </row>
        <row r="1193">
          <cell r="B1193" t="str">
            <v>AMOUBB1044</v>
          </cell>
          <cell r="C1193" t="str">
            <v>Coats/Outerwear</v>
          </cell>
          <cell r="E1193" t="str">
            <v>75% WOOL 25% POLYAMIDE</v>
          </cell>
          <cell r="F1193" t="str">
            <v>IT</v>
          </cell>
          <cell r="I1193">
            <v>3</v>
          </cell>
          <cell r="J1193">
            <v>1098</v>
          </cell>
          <cell r="K1193">
            <v>6101301500</v>
          </cell>
          <cell r="L1193" t="str">
            <v>6101.30.10.00.00</v>
          </cell>
        </row>
        <row r="1194">
          <cell r="B1194" t="str">
            <v>AMOUWJ1003</v>
          </cell>
          <cell r="C1194" t="str">
            <v>Coats/Outerwear</v>
          </cell>
          <cell r="E1194" t="str">
            <v>100% COTTON</v>
          </cell>
          <cell r="F1194" t="str">
            <v>IT</v>
          </cell>
          <cell r="I1194">
            <v>3</v>
          </cell>
          <cell r="J1194">
            <v>777</v>
          </cell>
          <cell r="K1194">
            <v>6201302050</v>
          </cell>
          <cell r="L1194" t="str">
            <v>6201.30.10.00.11</v>
          </cell>
        </row>
        <row r="1195">
          <cell r="B1195" t="str">
            <v>AMPACR1001</v>
          </cell>
          <cell r="C1195" t="str">
            <v>Pants</v>
          </cell>
          <cell r="E1195" t="str">
            <v>100% COTTON</v>
          </cell>
          <cell r="F1195" t="str">
            <v>IT</v>
          </cell>
          <cell r="I1195">
            <v>6</v>
          </cell>
          <cell r="J1195">
            <v>1044</v>
          </cell>
          <cell r="K1195">
            <v>6203424518</v>
          </cell>
          <cell r="L1195" t="str">
            <v>6203.42.31.00.00</v>
          </cell>
        </row>
        <row r="1196">
          <cell r="B1196" t="str">
            <v>AMPATP1019</v>
          </cell>
          <cell r="C1196" t="str">
            <v>Pants</v>
          </cell>
          <cell r="E1196" t="str">
            <v>100% VISCOSE</v>
          </cell>
          <cell r="F1196" t="str">
            <v>IT</v>
          </cell>
          <cell r="I1196">
            <v>4</v>
          </cell>
          <cell r="J1196">
            <v>632</v>
          </cell>
          <cell r="K1196">
            <v>6103431520</v>
          </cell>
          <cell r="L1196" t="str">
            <v>6103.43.00.00.00</v>
          </cell>
        </row>
        <row r="1197">
          <cell r="B1197" t="str">
            <v>AMSHCA1085</v>
          </cell>
          <cell r="C1197" t="str">
            <v>Shorts</v>
          </cell>
          <cell r="E1197" t="str">
            <v>70% COTTON 30% WOOL</v>
          </cell>
          <cell r="F1197" t="str">
            <v>IT</v>
          </cell>
          <cell r="I1197">
            <v>6</v>
          </cell>
          <cell r="J1197">
            <v>942</v>
          </cell>
          <cell r="K1197">
            <v>6203420751</v>
          </cell>
          <cell r="L1197" t="str">
            <v>6203.42.35.00.00</v>
          </cell>
        </row>
        <row r="1198">
          <cell r="B1198" t="str">
            <v>AMSTCA1136</v>
          </cell>
          <cell r="C1198" t="str">
            <v>Tops</v>
          </cell>
          <cell r="E1198" t="str">
            <v>70% COTTON 30% WOOL</v>
          </cell>
          <cell r="F1198" t="str">
            <v>IT</v>
          </cell>
          <cell r="I1198">
            <v>8</v>
          </cell>
          <cell r="J1198">
            <v>1528</v>
          </cell>
          <cell r="K1198">
            <v>6105100010</v>
          </cell>
          <cell r="L1198" t="str">
            <v>6105.10.00.00.00</v>
          </cell>
        </row>
        <row r="1199">
          <cell r="B1199" t="str">
            <v>AWDNSM1002</v>
          </cell>
          <cell r="C1199" t="str">
            <v>Pants</v>
          </cell>
          <cell r="E1199" t="str">
            <v>99% COTTON 1% ELASTANE</v>
          </cell>
          <cell r="F1199" t="str">
            <v>IT</v>
          </cell>
          <cell r="I1199">
            <v>5</v>
          </cell>
          <cell r="J1199">
            <v>440</v>
          </cell>
          <cell r="K1199">
            <v>6204628018</v>
          </cell>
          <cell r="L1199" t="str">
            <v>6204.62.39.00.00</v>
          </cell>
        </row>
        <row r="1200">
          <cell r="B1200" t="str">
            <v>AWDRCA1049</v>
          </cell>
          <cell r="C1200" t="str">
            <v>Dress</v>
          </cell>
          <cell r="E1200" t="str">
            <v>100% VISCOSE</v>
          </cell>
          <cell r="F1200" t="str">
            <v>IT</v>
          </cell>
          <cell r="I1200">
            <v>3</v>
          </cell>
          <cell r="J1200">
            <v>414</v>
          </cell>
          <cell r="K1200">
            <v>6204444010</v>
          </cell>
          <cell r="L1200" t="str">
            <v>6204.44.00.00.19</v>
          </cell>
        </row>
        <row r="1201">
          <cell r="B1201" t="str">
            <v>AWFOSR1045</v>
          </cell>
          <cell r="C1201" t="str">
            <v>Footwear</v>
          </cell>
          <cell r="E1201" t="str">
            <v>UPPER :100% Cotton Outsole:100% RUBBER   Midsole:100% EVA    Welt:100% RUBBER   ORNAMENT TPU:100% TPU</v>
          </cell>
          <cell r="F1201" t="str">
            <v>VN</v>
          </cell>
          <cell r="I1201">
            <v>3</v>
          </cell>
          <cell r="J1201">
            <v>237.36</v>
          </cell>
          <cell r="K1201">
            <v>6404119050</v>
          </cell>
          <cell r="L1201" t="str">
            <v>6404.11.00.00.00</v>
          </cell>
        </row>
        <row r="1202">
          <cell r="B1202" t="str">
            <v>AWKNLS1004</v>
          </cell>
          <cell r="C1202" t="str">
            <v>Tops</v>
          </cell>
          <cell r="E1202" t="str">
            <v>83% VISCOSE 17% POLYESTER</v>
          </cell>
          <cell r="F1202" t="str">
            <v>IT</v>
          </cell>
          <cell r="I1202">
            <v>3</v>
          </cell>
          <cell r="J1202">
            <v>408</v>
          </cell>
          <cell r="K1202">
            <v>6106202010</v>
          </cell>
          <cell r="L1202" t="str">
            <v>6106.20.00.00.00</v>
          </cell>
        </row>
        <row r="1203">
          <cell r="B1203" t="str">
            <v>AWPACA1018</v>
          </cell>
          <cell r="C1203" t="str">
            <v>Pants</v>
          </cell>
          <cell r="E1203" t="str">
            <v>100% VISCOSE</v>
          </cell>
          <cell r="F1203" t="str">
            <v>IT</v>
          </cell>
          <cell r="I1203">
            <v>4</v>
          </cell>
          <cell r="J1203">
            <v>696</v>
          </cell>
          <cell r="K1203">
            <v>6104631020</v>
          </cell>
          <cell r="L1203" t="str">
            <v>6104.63.00.00.00</v>
          </cell>
        </row>
        <row r="1204">
          <cell r="B1204" t="str">
            <v>AWTPTT1011</v>
          </cell>
          <cell r="C1204" t="str">
            <v>Tops</v>
          </cell>
          <cell r="E1204" t="str">
            <v>100% VISCOSE</v>
          </cell>
          <cell r="F1204" t="str">
            <v>IT</v>
          </cell>
          <cell r="I1204">
            <v>4</v>
          </cell>
          <cell r="J1204">
            <v>329.2</v>
          </cell>
          <cell r="K1204">
            <v>6109901065</v>
          </cell>
          <cell r="L1204" t="str">
            <v>6109.90.20.00.12</v>
          </cell>
        </row>
        <row r="1205">
          <cell r="B1205" t="str">
            <v>A0782U</v>
          </cell>
          <cell r="C1205" t="str">
            <v>Accessory - Bags</v>
          </cell>
          <cell r="D1205" t="str">
            <v>White</v>
          </cell>
          <cell r="E1205" t="str">
            <v>SHELL: 100%NYLON&gt; CONTRAST: 1...</v>
          </cell>
          <cell r="F1205" t="str">
            <v>CN</v>
          </cell>
          <cell r="H1205">
            <v>13.12</v>
          </cell>
          <cell r="I1205">
            <v>35</v>
          </cell>
          <cell r="J1205">
            <v>459.2</v>
          </cell>
          <cell r="K1205" t="str">
            <v>4202.92.3131</v>
          </cell>
          <cell r="L1205" t="str">
            <v>4202.92.98.90.00</v>
          </cell>
        </row>
        <row r="1206">
          <cell r="B1206" t="str">
            <v>A0782U</v>
          </cell>
          <cell r="C1206" t="str">
            <v>Accessory - Bags</v>
          </cell>
          <cell r="D1206" t="str">
            <v>Black</v>
          </cell>
          <cell r="E1206" t="str">
            <v>SHELL: 100%NYLON&gt; CONTRAST: 1...</v>
          </cell>
          <cell r="F1206" t="str">
            <v>CN</v>
          </cell>
          <cell r="H1206">
            <v>13.12</v>
          </cell>
          <cell r="I1206">
            <v>50</v>
          </cell>
          <cell r="J1206">
            <v>656</v>
          </cell>
          <cell r="K1206" t="str">
            <v>4202.92.3131</v>
          </cell>
          <cell r="L1206" t="str">
            <v>4202.92.98.90.00</v>
          </cell>
        </row>
        <row r="1207">
          <cell r="B1207" t="str">
            <v>W6452R</v>
          </cell>
          <cell r="C1207" t="str">
            <v>Women's Skirts</v>
          </cell>
          <cell r="D1207" t="str">
            <v>Black</v>
          </cell>
          <cell r="E1207" t="str">
            <v>SHELL: 100%POLYESTER&gt;LINING: ...</v>
          </cell>
          <cell r="F1207" t="str">
            <v>VN</v>
          </cell>
          <cell r="H1207">
            <v>20.88</v>
          </cell>
          <cell r="I1207">
            <v>36</v>
          </cell>
          <cell r="J1207">
            <v>751.68</v>
          </cell>
          <cell r="K1207" t="str">
            <v>6104.53.2010</v>
          </cell>
          <cell r="L1207" t="str">
            <v>6104.53.00.00.00</v>
          </cell>
        </row>
        <row r="1208">
          <cell r="B1208" t="str">
            <v>W6452R</v>
          </cell>
          <cell r="C1208" t="str">
            <v>Women's Skirts</v>
          </cell>
          <cell r="D1208" t="str">
            <v>Pink Quartz</v>
          </cell>
          <cell r="E1208" t="str">
            <v>SHELL: 100%POLYESTER&gt;LINING: ...</v>
          </cell>
          <cell r="F1208" t="str">
            <v>VN</v>
          </cell>
          <cell r="H1208">
            <v>20.88</v>
          </cell>
          <cell r="I1208">
            <v>33</v>
          </cell>
          <cell r="J1208">
            <v>689.04</v>
          </cell>
          <cell r="K1208" t="str">
            <v>6104.53.2010</v>
          </cell>
          <cell r="L1208" t="str">
            <v>6104.53.00.00.00</v>
          </cell>
        </row>
        <row r="1209">
          <cell r="B1209" t="str">
            <v>U5021R</v>
          </cell>
          <cell r="C1209" t="str">
            <v>Unisex Other Bottoms</v>
          </cell>
          <cell r="D1209" t="str">
            <v>Black</v>
          </cell>
          <cell r="E1209" t="str">
            <v>82%WOOL 18%CASHMERE&gt;EXCLU...</v>
          </cell>
          <cell r="F1209" t="str">
            <v>CN</v>
          </cell>
          <cell r="H1209">
            <v>75.5</v>
          </cell>
          <cell r="I1209">
            <v>16</v>
          </cell>
          <cell r="J1209">
            <v>1208</v>
          </cell>
          <cell r="K1209" t="str">
            <v>6104.61.0010</v>
          </cell>
          <cell r="L1209" t="str">
            <v>6104.61.00.00.00</v>
          </cell>
        </row>
        <row r="1210">
          <cell r="B1210" t="str">
            <v>W54178R</v>
          </cell>
          <cell r="C1210" t="str">
            <v>Women's 7/8 Leggings</v>
          </cell>
          <cell r="D1210" t="str">
            <v>Black</v>
          </cell>
          <cell r="E1210" t="str">
            <v>BODY: 77%POLYESTER 23%ELAST...</v>
          </cell>
          <cell r="F1210" t="str">
            <v>VN</v>
          </cell>
          <cell r="H1210">
            <v>10.38</v>
          </cell>
          <cell r="I1210">
            <v>35</v>
          </cell>
          <cell r="J1210">
            <v>363.3</v>
          </cell>
          <cell r="K1210" t="str">
            <v>6104.63.2006</v>
          </cell>
          <cell r="L1210" t="str">
            <v>6115.22.00.00.00</v>
          </cell>
        </row>
        <row r="1211">
          <cell r="B1211" t="str">
            <v>W54178R</v>
          </cell>
          <cell r="C1211" t="str">
            <v>Women's 7/8 Leggings</v>
          </cell>
          <cell r="D1211" t="str">
            <v>Charcoal Green</v>
          </cell>
          <cell r="E1211" t="str">
            <v>BODY: 77%POLYESTER 23%ELAST...</v>
          </cell>
          <cell r="F1211" t="str">
            <v>VN</v>
          </cell>
          <cell r="H1211">
            <v>10.38</v>
          </cell>
          <cell r="I1211">
            <v>28</v>
          </cell>
          <cell r="J1211">
            <v>290.64</v>
          </cell>
          <cell r="K1211" t="str">
            <v>6104.63.2006</v>
          </cell>
          <cell r="L1211" t="str">
            <v>6115.22.00.00.00</v>
          </cell>
        </row>
        <row r="1212">
          <cell r="B1212" t="str">
            <v>W54179R</v>
          </cell>
          <cell r="C1212" t="str">
            <v>Women's Leggings</v>
          </cell>
          <cell r="D1212" t="str">
            <v>Black</v>
          </cell>
          <cell r="E1212" t="str">
            <v>BODY: 77%POLYESTER 23%ELAST...</v>
          </cell>
          <cell r="F1212" t="str">
            <v>VN</v>
          </cell>
          <cell r="H1212">
            <v>14.66</v>
          </cell>
          <cell r="I1212">
            <v>38</v>
          </cell>
          <cell r="J1212">
            <v>557.08000000000004</v>
          </cell>
          <cell r="K1212" t="str">
            <v>6104.63.2006</v>
          </cell>
          <cell r="L1212" t="str">
            <v>6115.22.00.00.00</v>
          </cell>
        </row>
        <row r="1213">
          <cell r="B1213" t="str">
            <v>U3045R</v>
          </cell>
          <cell r="C1213" t="str">
            <v>Unisex Cover Ups</v>
          </cell>
          <cell r="D1213" t="str">
            <v>Black</v>
          </cell>
          <cell r="E1213" t="str">
            <v>82% WOOL 18%CASHMERE&gt;EXCLU...</v>
          </cell>
          <cell r="F1213" t="str">
            <v>CN</v>
          </cell>
          <cell r="H1213">
            <v>62.04</v>
          </cell>
          <cell r="I1213">
            <v>18</v>
          </cell>
          <cell r="J1213">
            <v>1116.72</v>
          </cell>
          <cell r="K1213" t="str">
            <v>6110.11.0030</v>
          </cell>
          <cell r="L1213" t="str">
            <v>6110.11.30.00.00</v>
          </cell>
        </row>
        <row r="1214">
          <cell r="B1214" t="str">
            <v>U3046R</v>
          </cell>
          <cell r="C1214" t="str">
            <v>Unisex Cover Ups</v>
          </cell>
          <cell r="D1214" t="str">
            <v>Black</v>
          </cell>
          <cell r="E1214" t="str">
            <v>82% MERINO WOOL 18%CASHMER...</v>
          </cell>
          <cell r="F1214" t="str">
            <v>CN</v>
          </cell>
          <cell r="H1214">
            <v>109.38</v>
          </cell>
          <cell r="I1214">
            <v>18</v>
          </cell>
          <cell r="J1214">
            <v>1968.84</v>
          </cell>
          <cell r="K1214" t="str">
            <v>6110.11.0080</v>
          </cell>
          <cell r="L1214" t="str">
            <v>6110.11.30.00.00</v>
          </cell>
        </row>
        <row r="1215">
          <cell r="B1215" t="str">
            <v>U3026R</v>
          </cell>
          <cell r="C1215" t="str">
            <v>Unisex Cover Ups</v>
          </cell>
          <cell r="D1215" t="str">
            <v>Mushroom Heather</v>
          </cell>
          <cell r="E1215" t="str">
            <v>90%COTTON 9%NYLON 1%ELASTA...</v>
          </cell>
          <cell r="F1215" t="str">
            <v>CN</v>
          </cell>
          <cell r="H1215">
            <v>39.01</v>
          </cell>
          <cell r="I1215">
            <v>16</v>
          </cell>
          <cell r="J1215">
            <v>624.16</v>
          </cell>
          <cell r="K1215" t="str">
            <v>6110.20.2020</v>
          </cell>
          <cell r="L1215" t="str">
            <v>6110.20.99.00.00</v>
          </cell>
        </row>
        <row r="1216">
          <cell r="B1216" t="str">
            <v>U3043RG</v>
          </cell>
          <cell r="C1216" t="str">
            <v>Unisex Cover Ups</v>
          </cell>
          <cell r="D1216" t="str">
            <v>Cool Grey Wash</v>
          </cell>
          <cell r="E1216" t="str">
            <v>BODY: 65%COTTON 35%POLYESTE...</v>
          </cell>
          <cell r="F1216" t="str">
            <v>VN</v>
          </cell>
          <cell r="H1216">
            <v>17.87</v>
          </cell>
          <cell r="I1216">
            <v>62</v>
          </cell>
          <cell r="J1216">
            <v>1107.94</v>
          </cell>
          <cell r="K1216" t="str">
            <v>6110.20.2020</v>
          </cell>
          <cell r="L1216" t="str">
            <v>6110.20.99.00.00</v>
          </cell>
        </row>
        <row r="1217">
          <cell r="B1217" t="str">
            <v>W9830R</v>
          </cell>
          <cell r="C1217" t="str">
            <v>Women's Bras</v>
          </cell>
          <cell r="D1217" t="str">
            <v>Black</v>
          </cell>
          <cell r="E1217" t="str">
            <v>BODY: 77%POLYESTER 23%ELAST...</v>
          </cell>
          <cell r="F1217" t="str">
            <v>VN</v>
          </cell>
          <cell r="H1217">
            <v>15.04</v>
          </cell>
          <cell r="I1217">
            <v>41</v>
          </cell>
          <cell r="J1217">
            <v>616.64</v>
          </cell>
          <cell r="K1217" t="str">
            <v>6114.30.1020</v>
          </cell>
          <cell r="L1217" t="str">
            <v>6114.30.00.00.11</v>
          </cell>
        </row>
        <row r="1218">
          <cell r="B1218" t="str">
            <v>W9830R</v>
          </cell>
          <cell r="C1218" t="str">
            <v>Women's Bras</v>
          </cell>
          <cell r="D1218" t="str">
            <v>Smoky Quartz</v>
          </cell>
          <cell r="E1218" t="str">
            <v>BODY: 77%POLYESTER 23%ELAST...</v>
          </cell>
          <cell r="F1218" t="str">
            <v>VN</v>
          </cell>
          <cell r="H1218">
            <v>15.04</v>
          </cell>
          <cell r="I1218">
            <v>35</v>
          </cell>
          <cell r="J1218">
            <v>526.4</v>
          </cell>
          <cell r="K1218" t="str">
            <v>6114.30.1020</v>
          </cell>
          <cell r="L1218" t="str">
            <v>6114.30.00.00.11</v>
          </cell>
        </row>
        <row r="1219">
          <cell r="B1219" t="str">
            <v>W8231R</v>
          </cell>
          <cell r="C1219" t="str">
            <v>Women's One-Pieces</v>
          </cell>
          <cell r="D1219" t="str">
            <v>Black</v>
          </cell>
          <cell r="E1219" t="str">
            <v>BODY: 87%POLYESTER 13%ELAST...</v>
          </cell>
          <cell r="F1219" t="str">
            <v>VN</v>
          </cell>
          <cell r="H1219">
            <v>21.64</v>
          </cell>
          <cell r="I1219">
            <v>40</v>
          </cell>
          <cell r="J1219">
            <v>865.6</v>
          </cell>
          <cell r="K1219" t="str">
            <v>6114.30.3054</v>
          </cell>
          <cell r="L1219" t="str">
            <v>6114.30.00.00.11</v>
          </cell>
        </row>
        <row r="1220">
          <cell r="B1220" t="str">
            <v>A0660W</v>
          </cell>
          <cell r="C1220" t="str">
            <v>Accessory - Socks</v>
          </cell>
          <cell r="D1220" t="str">
            <v>White</v>
          </cell>
          <cell r="E1220" t="str">
            <v>97%POLYESTER 2%ELASTANE 1%...</v>
          </cell>
          <cell r="F1220" t="str">
            <v>CN</v>
          </cell>
          <cell r="H1220">
            <v>3.25</v>
          </cell>
          <cell r="I1220">
            <v>100</v>
          </cell>
          <cell r="J1220">
            <v>325</v>
          </cell>
          <cell r="K1220" t="str">
            <v>6115.96.9020</v>
          </cell>
          <cell r="L1220" t="str">
            <v>6115.96.91.00.00</v>
          </cell>
        </row>
        <row r="1221">
          <cell r="B1221" t="str">
            <v>A0660W</v>
          </cell>
          <cell r="C1221" t="str">
            <v>Accessory - Socks</v>
          </cell>
          <cell r="D1221" t="str">
            <v>White/Spruce Green</v>
          </cell>
          <cell r="E1221" t="str">
            <v>98%POLYESTER 2%ELASTANE &gt;EX...</v>
          </cell>
          <cell r="F1221" t="str">
            <v>CN</v>
          </cell>
          <cell r="H1221">
            <v>3.25</v>
          </cell>
          <cell r="I1221">
            <v>43</v>
          </cell>
          <cell r="J1221">
            <v>139.75</v>
          </cell>
          <cell r="K1221" t="str">
            <v>6115.96.9020</v>
          </cell>
          <cell r="L1221" t="str">
            <v>6115.96.91.00.00</v>
          </cell>
        </row>
        <row r="1222">
          <cell r="B1222" t="str">
            <v>M4187R</v>
          </cell>
          <cell r="C1222" t="str">
            <v>Men's Outerwear</v>
          </cell>
          <cell r="D1222" t="str">
            <v>Black</v>
          </cell>
          <cell r="E1222" t="str">
            <v>SHELL: 86%POLYESTER 14%ELAST...</v>
          </cell>
          <cell r="F1222" t="str">
            <v>VN</v>
          </cell>
          <cell r="H1222">
            <v>34.03</v>
          </cell>
          <cell r="I1222">
            <v>39</v>
          </cell>
          <cell r="J1222">
            <v>1327.17</v>
          </cell>
          <cell r="K1222" t="str">
            <v>6201.40.7511</v>
          </cell>
          <cell r="L1222" t="str">
            <v>6201.40.90.00.12</v>
          </cell>
        </row>
        <row r="1223">
          <cell r="B1223" t="str">
            <v>W4634R</v>
          </cell>
          <cell r="C1223" t="str">
            <v>Women's Outerwear</v>
          </cell>
          <cell r="D1223" t="str">
            <v>Black</v>
          </cell>
          <cell r="E1223" t="str">
            <v>BODY:100%NYLON&gt;BODY LINING: ...</v>
          </cell>
          <cell r="F1223" t="str">
            <v>VN</v>
          </cell>
          <cell r="H1223">
            <v>42.44</v>
          </cell>
          <cell r="I1223">
            <v>11</v>
          </cell>
          <cell r="J1223">
            <v>466.84</v>
          </cell>
          <cell r="K1223" t="str">
            <v>6202.40.7000</v>
          </cell>
          <cell r="L1223" t="str">
            <v>6202.40.10.00.11</v>
          </cell>
        </row>
        <row r="1224">
          <cell r="B1224" t="str">
            <v>W54204R</v>
          </cell>
          <cell r="C1224" t="str">
            <v>Women's Other Bottoms</v>
          </cell>
          <cell r="D1224" t="str">
            <v>Black</v>
          </cell>
          <cell r="E1224" t="str">
            <v>MAIN BODY: 100%NYLON&gt;MESH:9...</v>
          </cell>
          <cell r="F1224" t="str">
            <v>VN</v>
          </cell>
          <cell r="H1224">
            <v>24.69</v>
          </cell>
          <cell r="I1224">
            <v>46</v>
          </cell>
          <cell r="J1224">
            <v>1135.74</v>
          </cell>
          <cell r="K1224" t="str">
            <v>6202.40.7511</v>
          </cell>
          <cell r="L1224" t="str">
            <v>6202.40.10.00.11</v>
          </cell>
        </row>
        <row r="1225">
          <cell r="B1225" t="str">
            <v>W54204R</v>
          </cell>
          <cell r="C1225" t="str">
            <v>Women's Other Bottoms</v>
          </cell>
          <cell r="D1225" t="str">
            <v>Charcoal Green</v>
          </cell>
          <cell r="E1225" t="str">
            <v>BODY: 100%NYLON&gt;MESH:95%PO...</v>
          </cell>
          <cell r="F1225" t="str">
            <v>VN</v>
          </cell>
          <cell r="H1225">
            <v>24.72</v>
          </cell>
          <cell r="I1225">
            <v>15</v>
          </cell>
          <cell r="J1225">
            <v>370.8</v>
          </cell>
          <cell r="K1225" t="str">
            <v>6202.40.7511</v>
          </cell>
          <cell r="L1225" t="str">
            <v>6202.40.10.00.11</v>
          </cell>
        </row>
        <row r="1226">
          <cell r="B1226" t="str">
            <v>W4702R</v>
          </cell>
          <cell r="C1226" t="str">
            <v>Women's Outerwear</v>
          </cell>
          <cell r="D1226" t="str">
            <v>Black</v>
          </cell>
          <cell r="E1226" t="str">
            <v>BODY: 89%NYLON 11%ELASTANE&gt;...</v>
          </cell>
          <cell r="F1226" t="str">
            <v>CN</v>
          </cell>
          <cell r="H1226">
            <v>35.42</v>
          </cell>
          <cell r="I1226">
            <v>28</v>
          </cell>
          <cell r="J1226">
            <v>991.76</v>
          </cell>
          <cell r="K1226" t="str">
            <v>6211.43.1078</v>
          </cell>
          <cell r="L1226" t="str">
            <v>6211.43.41.00.00</v>
          </cell>
        </row>
        <row r="1227">
          <cell r="B1227" t="str">
            <v>W4702R</v>
          </cell>
          <cell r="C1227" t="str">
            <v>Women's Outerwear</v>
          </cell>
          <cell r="D1227" t="str">
            <v>MSHRM</v>
          </cell>
          <cell r="E1227" t="str">
            <v>BODY: 89%NYLON 11%ELASTANE&gt;...</v>
          </cell>
          <cell r="F1227" t="str">
            <v>CN</v>
          </cell>
          <cell r="H1227">
            <v>34.090000000000003</v>
          </cell>
          <cell r="I1227">
            <v>25</v>
          </cell>
          <cell r="J1227">
            <v>852.25</v>
          </cell>
          <cell r="K1227" t="str">
            <v>6211.43.1078</v>
          </cell>
          <cell r="L1227" t="str">
            <v>6211.43.41.00.00</v>
          </cell>
        </row>
        <row r="1228">
          <cell r="B1228" t="str">
            <v>A0519U</v>
          </cell>
          <cell r="C1228" t="str">
            <v>Accessory - Hats</v>
          </cell>
          <cell r="D1228" t="str">
            <v>Black</v>
          </cell>
          <cell r="E1228" t="str">
            <v>SHELL &amp; LINING: 100%COTTON&gt;EX...</v>
          </cell>
          <cell r="F1228" t="str">
            <v>CN</v>
          </cell>
          <cell r="H1228">
            <v>6.31</v>
          </cell>
          <cell r="I1228">
            <v>180</v>
          </cell>
          <cell r="J1228">
            <v>1135.8</v>
          </cell>
          <cell r="K1228" t="str">
            <v>6505.00.2590</v>
          </cell>
          <cell r="L1228" t="str">
            <v>6505.00.30.00.00</v>
          </cell>
        </row>
        <row r="1229">
          <cell r="B1229" t="str">
            <v>A0519U</v>
          </cell>
          <cell r="C1229" t="str">
            <v>Accessory - Hats</v>
          </cell>
          <cell r="D1229" t="str">
            <v>Fresh Linen</v>
          </cell>
          <cell r="E1229" t="str">
            <v>SHELL &amp; LINING: 100%COTTON&gt;EX...</v>
          </cell>
          <cell r="F1229" t="str">
            <v>CN</v>
          </cell>
          <cell r="H1229">
            <v>6.31</v>
          </cell>
          <cell r="I1229">
            <v>111</v>
          </cell>
          <cell r="J1229">
            <v>700.41</v>
          </cell>
          <cell r="K1229" t="str">
            <v>6505.00.2590</v>
          </cell>
          <cell r="L1229" t="str">
            <v>6505.00.30.00.00</v>
          </cell>
        </row>
        <row r="1230">
          <cell r="B1230" t="str">
            <v>A0779U</v>
          </cell>
          <cell r="C1230" t="str">
            <v>Accessory - Mats</v>
          </cell>
          <cell r="D1230" t="str">
            <v>Black</v>
          </cell>
          <cell r="E1230" t="str">
            <v>TOP: POLYURETHANE&gt;BOTTOM: RUBBER</v>
          </cell>
          <cell r="F1230" t="str">
            <v>CN</v>
          </cell>
          <cell r="H1230">
            <v>23.38</v>
          </cell>
          <cell r="I1230">
            <v>40</v>
          </cell>
          <cell r="J1230">
            <v>935.2</v>
          </cell>
          <cell r="K1230" t="str">
            <v>9506.91.0030</v>
          </cell>
          <cell r="L1230" t="str">
            <v>9506.91.90.00.00</v>
          </cell>
        </row>
        <row r="1231">
          <cell r="B1231" t="str">
            <v>A0779U</v>
          </cell>
          <cell r="C1231" t="str">
            <v>Accessory - Mats</v>
          </cell>
          <cell r="D1231" t="str">
            <v>Smoky Quartz</v>
          </cell>
          <cell r="E1231" t="str">
            <v>TOP: POLYURETHANE&gt;BOTTOM: RUBBER</v>
          </cell>
          <cell r="F1231" t="str">
            <v>CN</v>
          </cell>
          <cell r="H1231">
            <v>23.38</v>
          </cell>
          <cell r="I1231">
            <v>40</v>
          </cell>
          <cell r="J1231">
            <v>935.2</v>
          </cell>
          <cell r="K1231" t="str">
            <v>9506.91.0030</v>
          </cell>
          <cell r="L1231" t="str">
            <v>9506.91.90.00.00</v>
          </cell>
        </row>
        <row r="1232">
          <cell r="B1232" t="str">
            <v>A0503U</v>
          </cell>
          <cell r="C1232" t="str">
            <v>Accessory - Equipment</v>
          </cell>
          <cell r="D1232" t="str">
            <v>Black</v>
          </cell>
          <cell r="E1232" t="str">
            <v>85%POLYESTER 15%NYLON</v>
          </cell>
          <cell r="F1232" t="str">
            <v>CN</v>
          </cell>
          <cell r="H1232">
            <v>7.81</v>
          </cell>
          <cell r="I1232">
            <v>350</v>
          </cell>
          <cell r="J1232">
            <v>2733.5</v>
          </cell>
          <cell r="K1232" t="str">
            <v>9617.00.1000</v>
          </cell>
          <cell r="L1232" t="str">
            <v>9506.99.90.00.00</v>
          </cell>
        </row>
        <row r="1233">
          <cell r="B1233" t="str">
            <v>AMDNSM1012</v>
          </cell>
          <cell r="C1233" t="str">
            <v>Denim</v>
          </cell>
          <cell r="D1233" t="str">
            <v>VINTAGE PATCH SLIM JEAN</v>
          </cell>
          <cell r="E1233" t="str">
            <v>100% COTTON, APPLIQUE: 100% COTTON</v>
          </cell>
          <cell r="F1233" t="str">
            <v>US</v>
          </cell>
          <cell r="I1233">
            <v>1</v>
          </cell>
          <cell r="J1233">
            <v>239.79404717100002</v>
          </cell>
          <cell r="K1233">
            <v>6203424511</v>
          </cell>
          <cell r="L1233" t="str">
            <v>6203.42.35.00.00</v>
          </cell>
        </row>
        <row r="1234">
          <cell r="B1234" t="str">
            <v>AMDNSM1012</v>
          </cell>
          <cell r="C1234" t="str">
            <v>Denim</v>
          </cell>
          <cell r="D1234" t="str">
            <v>VINTAGE PATCH SLIM JEAN</v>
          </cell>
          <cell r="E1234" t="str">
            <v>100% COTTON, APPLIQUE: 100% COTTON</v>
          </cell>
          <cell r="F1234" t="str">
            <v>US</v>
          </cell>
          <cell r="I1234">
            <v>1</v>
          </cell>
          <cell r="J1234">
            <v>245.71531249649999</v>
          </cell>
          <cell r="K1234">
            <v>6203424511</v>
          </cell>
          <cell r="L1234" t="str">
            <v>6203.42.35.00.00</v>
          </cell>
        </row>
        <row r="1235">
          <cell r="B1235" t="str">
            <v>AMDNSM1012</v>
          </cell>
          <cell r="C1235" t="str">
            <v>Denim</v>
          </cell>
          <cell r="D1235" t="str">
            <v>VINTAGE PATCH SLIM JEAN</v>
          </cell>
          <cell r="E1235" t="str">
            <v>100% COTTON, APPLIQUE: 100% COTTON</v>
          </cell>
          <cell r="F1235" t="str">
            <v>US</v>
          </cell>
          <cell r="I1235">
            <v>1</v>
          </cell>
          <cell r="J1235">
            <v>252.65142</v>
          </cell>
          <cell r="K1235">
            <v>6203424511</v>
          </cell>
          <cell r="L1235" t="str">
            <v>6203.42.35.00.00</v>
          </cell>
        </row>
        <row r="1236">
          <cell r="B1236" t="str">
            <v>AMDNSM1012</v>
          </cell>
          <cell r="C1236" t="str">
            <v>Denim</v>
          </cell>
          <cell r="D1236" t="str">
            <v>VINTAGE PATCH SLIM JEAN</v>
          </cell>
          <cell r="E1236" t="str">
            <v>100% COTTON, APPLIQUE: 100% COTTON</v>
          </cell>
          <cell r="F1236" t="str">
            <v>US</v>
          </cell>
          <cell r="I1236">
            <v>1</v>
          </cell>
          <cell r="J1236">
            <v>263.98750000350003</v>
          </cell>
          <cell r="K1236">
            <v>6203424511</v>
          </cell>
          <cell r="L1236" t="str">
            <v>6203.42.35.00.00</v>
          </cell>
        </row>
        <row r="1237">
          <cell r="B1237" t="str">
            <v>AMDNSY1104</v>
          </cell>
          <cell r="C1237" t="str">
            <v>Denim</v>
          </cell>
          <cell r="D1237" t="str">
            <v>MA QUAD PLAID MX1 JEAN</v>
          </cell>
          <cell r="E1237" t="str">
            <v>92% COTTON 6% ELASTOMULTIESTERE 2% ELASTANE</v>
          </cell>
          <cell r="F1237" t="str">
            <v>US</v>
          </cell>
          <cell r="I1237">
            <v>8</v>
          </cell>
          <cell r="J1237">
            <v>1461.9359999999999</v>
          </cell>
          <cell r="K1237">
            <v>6203424518</v>
          </cell>
          <cell r="L1237" t="str">
            <v>6203.42.31.00.00</v>
          </cell>
        </row>
        <row r="1238">
          <cell r="B1238" t="str">
            <v>AMDNSY1122</v>
          </cell>
          <cell r="C1238" t="str">
            <v>Denim</v>
          </cell>
          <cell r="D1238" t="str">
            <v>MICRO STARBURST MX1 JEAN</v>
          </cell>
          <cell r="E1238" t="str">
            <v>92% COTTON 6% ELASTOMULTIESTERE, 2% ELASTANE</v>
          </cell>
          <cell r="F1238" t="str">
            <v>US</v>
          </cell>
          <cell r="I1238">
            <v>1</v>
          </cell>
          <cell r="J1238">
            <v>179.62915385099998</v>
          </cell>
          <cell r="K1238">
            <v>6203424511</v>
          </cell>
          <cell r="L1238" t="str">
            <v>6203.42.35.00.00</v>
          </cell>
        </row>
        <row r="1239">
          <cell r="B1239" t="str">
            <v>AMDNSY1122</v>
          </cell>
          <cell r="C1239" t="str">
            <v>Denim</v>
          </cell>
          <cell r="D1239" t="str">
            <v>MICRO STARBURST MX1 JEAN</v>
          </cell>
          <cell r="E1239" t="str">
            <v>92% COTTON 6% ELASTOMULTIESTERE, 2% ELASTANE</v>
          </cell>
          <cell r="F1239" t="str">
            <v>US</v>
          </cell>
          <cell r="I1239">
            <v>1</v>
          </cell>
          <cell r="J1239">
            <v>204.42962195249999</v>
          </cell>
          <cell r="K1239">
            <v>6203424511</v>
          </cell>
          <cell r="L1239" t="str">
            <v>6203.42.35.00.00</v>
          </cell>
        </row>
        <row r="1240">
          <cell r="B1240" t="str">
            <v>AMDNSY1122</v>
          </cell>
          <cell r="C1240" t="str">
            <v>Denim</v>
          </cell>
          <cell r="D1240" t="str">
            <v>MICRO STARBURST MX1 JEAN</v>
          </cell>
          <cell r="E1240" t="str">
            <v>92% COTTON 6% ELASTOMULTIESTERE, 2% ELASTANE</v>
          </cell>
          <cell r="F1240" t="str">
            <v>US</v>
          </cell>
          <cell r="I1240">
            <v>2</v>
          </cell>
          <cell r="J1240">
            <v>409.67792726700003</v>
          </cell>
          <cell r="K1240">
            <v>6203424511</v>
          </cell>
          <cell r="L1240" t="str">
            <v>6203.42.35.00.00</v>
          </cell>
        </row>
        <row r="1241">
          <cell r="B1241" t="str">
            <v>AMDNSY1122</v>
          </cell>
          <cell r="C1241" t="str">
            <v>Denim</v>
          </cell>
          <cell r="D1241" t="str">
            <v>MICRO STARBURST MX1 JEAN</v>
          </cell>
          <cell r="E1241" t="str">
            <v>92% COTTON 6% ELASTOMULTIESTERE, 2% ELASTANE</v>
          </cell>
          <cell r="F1241" t="str">
            <v>US</v>
          </cell>
          <cell r="I1241">
            <v>1</v>
          </cell>
          <cell r="J1241">
            <v>207.20477272949998</v>
          </cell>
          <cell r="K1241">
            <v>6203424511</v>
          </cell>
          <cell r="L1241" t="str">
            <v>6203.42.35.00.00</v>
          </cell>
        </row>
        <row r="1242">
          <cell r="B1242" t="str">
            <v>AMDNSY1122</v>
          </cell>
          <cell r="C1242" t="str">
            <v>Denim</v>
          </cell>
          <cell r="D1242" t="str">
            <v>MICRO STARBURST MX1 JEAN</v>
          </cell>
          <cell r="E1242" t="str">
            <v>92% COTTON 6% ELASTOMULTIESTERE, 2% ELASTANE</v>
          </cell>
          <cell r="F1242" t="str">
            <v>US</v>
          </cell>
          <cell r="I1242">
            <v>1</v>
          </cell>
          <cell r="J1242">
            <v>207.87262499849999</v>
          </cell>
          <cell r="K1242">
            <v>6203424511</v>
          </cell>
          <cell r="L1242" t="str">
            <v>6203.42.35.00.00</v>
          </cell>
        </row>
        <row r="1243">
          <cell r="B1243" t="str">
            <v>AMDNSY1122</v>
          </cell>
          <cell r="C1243" t="str">
            <v>Denim</v>
          </cell>
          <cell r="D1243" t="str">
            <v>MICRO STARBURST MX1 JEAN</v>
          </cell>
          <cell r="E1243" t="str">
            <v>92% COTTON 6% ELASTOMULTIESTERE, 2% ELASTANE</v>
          </cell>
          <cell r="F1243" t="str">
            <v>US</v>
          </cell>
          <cell r="I1243">
            <v>1</v>
          </cell>
          <cell r="J1243">
            <v>210.07665</v>
          </cell>
          <cell r="K1243">
            <v>6203424511</v>
          </cell>
          <cell r="L1243" t="str">
            <v>6203.42.35.00.00</v>
          </cell>
        </row>
        <row r="1244">
          <cell r="B1244" t="str">
            <v>AMDNSY1122</v>
          </cell>
          <cell r="C1244" t="str">
            <v>Denim</v>
          </cell>
          <cell r="D1244" t="str">
            <v>MICRO STARBURST MX1 JEAN</v>
          </cell>
          <cell r="E1244" t="str">
            <v>92% COTTON 6% ELASTOMULTIESTERE, 2% ELASTANE</v>
          </cell>
          <cell r="F1244" t="str">
            <v>US</v>
          </cell>
          <cell r="I1244">
            <v>1</v>
          </cell>
          <cell r="J1244">
            <v>212.95618750349999</v>
          </cell>
          <cell r="K1244">
            <v>6203424511</v>
          </cell>
          <cell r="L1244" t="str">
            <v>6203.42.35.00.00</v>
          </cell>
        </row>
        <row r="1245">
          <cell r="B1245" t="str">
            <v>AMDNSY1141</v>
          </cell>
          <cell r="C1245" t="str">
            <v>Denim</v>
          </cell>
          <cell r="D1245" t="str">
            <v>STARBURST APPLIQUE SKINNY JEAN</v>
          </cell>
          <cell r="E1245" t="str">
            <v>92% COTTON 6% ELASTOMULTIESTERE, 2% ELASTANE</v>
          </cell>
          <cell r="F1245" t="str">
            <v>US</v>
          </cell>
          <cell r="I1245">
            <v>2</v>
          </cell>
          <cell r="J1245">
            <v>348.73860000000002</v>
          </cell>
          <cell r="K1245">
            <v>6203424511</v>
          </cell>
          <cell r="L1245" t="str">
            <v>6203.42.35.00.00</v>
          </cell>
        </row>
        <row r="1246">
          <cell r="B1246" t="str">
            <v>AMDNSY1141</v>
          </cell>
          <cell r="C1246" t="str">
            <v>Denim</v>
          </cell>
          <cell r="D1246" t="str">
            <v>STARBURST APPLIQUE SKINNY JEAN</v>
          </cell>
          <cell r="E1246" t="str">
            <v>92% COTTON 6% ELASTOMULTIESTERE, 2% ELASTANE</v>
          </cell>
          <cell r="F1246" t="str">
            <v>US</v>
          </cell>
          <cell r="I1246">
            <v>1</v>
          </cell>
          <cell r="J1246">
            <v>174.52086207150001</v>
          </cell>
          <cell r="K1246">
            <v>6203424511</v>
          </cell>
          <cell r="L1246" t="str">
            <v>6203.42.35.00.00</v>
          </cell>
        </row>
        <row r="1247">
          <cell r="B1247" t="str">
            <v>AMDNSY1141</v>
          </cell>
          <cell r="C1247" t="str">
            <v>Denim</v>
          </cell>
          <cell r="D1247" t="str">
            <v>STARBURST APPLIQUE SKINNY JEAN</v>
          </cell>
          <cell r="E1247" t="str">
            <v>92% COTTON 6% ELASTOMULTIESTERE, 2% ELASTANE</v>
          </cell>
          <cell r="F1247" t="str">
            <v>US</v>
          </cell>
          <cell r="I1247">
            <v>1</v>
          </cell>
          <cell r="J1247">
            <v>174.5625</v>
          </cell>
          <cell r="K1247">
            <v>6203424511</v>
          </cell>
          <cell r="L1247" t="str">
            <v>6203.42.35.00.00</v>
          </cell>
        </row>
        <row r="1248">
          <cell r="B1248" t="str">
            <v>AMDNSY1141</v>
          </cell>
          <cell r="C1248" t="str">
            <v>Denim</v>
          </cell>
          <cell r="D1248" t="str">
            <v>STARBURST APPLIQUE SKINNY JEAN</v>
          </cell>
          <cell r="E1248" t="str">
            <v>92% COTTON 6% ELASTOMULTIESTERE, 2% ELASTANE</v>
          </cell>
          <cell r="F1248" t="str">
            <v>US</v>
          </cell>
          <cell r="I1248">
            <v>1</v>
          </cell>
          <cell r="J1248">
            <v>174.58792105649999</v>
          </cell>
          <cell r="K1248">
            <v>6203424511</v>
          </cell>
          <cell r="L1248" t="str">
            <v>6203.42.35.00.00</v>
          </cell>
        </row>
        <row r="1249">
          <cell r="B1249" t="str">
            <v>AMDNSY1141</v>
          </cell>
          <cell r="C1249" t="str">
            <v>Denim</v>
          </cell>
          <cell r="D1249" t="str">
            <v>STARBURST APPLIQUE SKINNY JEAN</v>
          </cell>
          <cell r="E1249" t="str">
            <v>92% COTTON 6% ELASTOMULTIESTERE, 2% ELASTANE</v>
          </cell>
          <cell r="F1249" t="str">
            <v>US</v>
          </cell>
          <cell r="I1249">
            <v>1</v>
          </cell>
          <cell r="J1249">
            <v>174.61532812499999</v>
          </cell>
          <cell r="K1249">
            <v>6203424511</v>
          </cell>
          <cell r="L1249" t="str">
            <v>6203.42.35.00.00</v>
          </cell>
        </row>
        <row r="1250">
          <cell r="B1250" t="str">
            <v>AMDNSY1141</v>
          </cell>
          <cell r="C1250" t="str">
            <v>Denim</v>
          </cell>
          <cell r="D1250" t="str">
            <v>STARBURST APPLIQUE SKINNY JEAN</v>
          </cell>
          <cell r="E1250" t="str">
            <v>92% COTTON 6% ELASTOMULTIESTERE, 2% ELASTANE</v>
          </cell>
          <cell r="F1250" t="str">
            <v>US</v>
          </cell>
          <cell r="I1250">
            <v>1</v>
          </cell>
          <cell r="J1250">
            <v>174.6193235325</v>
          </cell>
          <cell r="K1250">
            <v>6203424511</v>
          </cell>
          <cell r="L1250" t="str">
            <v>6203.42.35.00.00</v>
          </cell>
        </row>
        <row r="1251">
          <cell r="B1251" t="str">
            <v>AMDNSY1141</v>
          </cell>
          <cell r="C1251" t="str">
            <v>Denim</v>
          </cell>
          <cell r="D1251" t="str">
            <v>STARBURST APPLIQUE SKINNY JEAN</v>
          </cell>
          <cell r="E1251" t="str">
            <v>92% COTTON 6% ELASTOMULTIESTERE, 2% ELASTANE</v>
          </cell>
          <cell r="F1251" t="str">
            <v>US</v>
          </cell>
          <cell r="I1251">
            <v>1</v>
          </cell>
          <cell r="J1251">
            <v>174.648193545</v>
          </cell>
          <cell r="K1251">
            <v>6203424511</v>
          </cell>
          <cell r="L1251" t="str">
            <v>6203.42.35.00.00</v>
          </cell>
        </row>
        <row r="1252">
          <cell r="B1252" t="str">
            <v>AMDNSY1141</v>
          </cell>
          <cell r="C1252" t="str">
            <v>Denim</v>
          </cell>
          <cell r="D1252" t="str">
            <v>STARBURST APPLIQUE SKINNY JEAN</v>
          </cell>
          <cell r="E1252" t="str">
            <v>92% COTTON 6% ELASTOMULTIESTERE, 2% ELASTANE</v>
          </cell>
          <cell r="F1252" t="str">
            <v>US</v>
          </cell>
          <cell r="I1252">
            <v>2</v>
          </cell>
          <cell r="J1252">
            <v>349.32025531199997</v>
          </cell>
          <cell r="K1252">
            <v>6203424511</v>
          </cell>
          <cell r="L1252" t="str">
            <v>6203.42.35.00.00</v>
          </cell>
        </row>
        <row r="1253">
          <cell r="B1253" t="str">
            <v>AMFOSR1078</v>
          </cell>
          <cell r="C1253" t="str">
            <v>Footwear</v>
          </cell>
          <cell r="D1253" t="str">
            <v>SKEL TOP LOW</v>
          </cell>
          <cell r="E1253" t="str">
            <v>UPPER 1: 100% COW LEATHER, UPPER 2: 100% COW LEATHER, LINING: 100% POLYESTER MESH, OUTSOLE : 100% Rubber</v>
          </cell>
          <cell r="F1253" t="str">
            <v>VN</v>
          </cell>
          <cell r="I1253">
            <v>1</v>
          </cell>
          <cell r="J1253">
            <v>78.472058826000008</v>
          </cell>
          <cell r="K1253">
            <v>6403996040</v>
          </cell>
          <cell r="L1253" t="str">
            <v>6403.99.93.00.00</v>
          </cell>
        </row>
        <row r="1254">
          <cell r="B1254" t="str">
            <v>AMFOSR1078</v>
          </cell>
          <cell r="C1254" t="str">
            <v>Footwear</v>
          </cell>
          <cell r="D1254" t="str">
            <v>SKEL TOP LOW</v>
          </cell>
          <cell r="E1254" t="str">
            <v>UPPER 1: 100% COW LEATHER, UPPER 2: 100% COW LEATHER, LINING: 100% POLYESTER MESH, OUTSOLE : 100% Rubber</v>
          </cell>
          <cell r="F1254" t="str">
            <v>VN</v>
          </cell>
          <cell r="I1254">
            <v>1</v>
          </cell>
          <cell r="J1254">
            <v>79.875903617999995</v>
          </cell>
          <cell r="K1254">
            <v>6403996040</v>
          </cell>
          <cell r="L1254" t="str">
            <v>6403.99.93.00.00</v>
          </cell>
        </row>
        <row r="1255">
          <cell r="B1255" t="str">
            <v>AMFOSR1078</v>
          </cell>
          <cell r="C1255" t="str">
            <v>Footwear</v>
          </cell>
          <cell r="D1255" t="str">
            <v>SKEL TOP LOW</v>
          </cell>
          <cell r="E1255" t="str">
            <v>UPPER 1: 100% COW LEATHER, UPPER 2: 100% COW LEATHER, LINING: 100% POLYESTER MESH, OUTSOLE : 100% Rubber</v>
          </cell>
          <cell r="F1255" t="str">
            <v>VN</v>
          </cell>
          <cell r="I1255">
            <v>1</v>
          </cell>
          <cell r="J1255">
            <v>80.237500003500003</v>
          </cell>
          <cell r="K1255">
            <v>6403996040</v>
          </cell>
          <cell r="L1255" t="str">
            <v>6403.99.93.00.00</v>
          </cell>
        </row>
        <row r="1256">
          <cell r="B1256" t="str">
            <v>AMFOSR1078</v>
          </cell>
          <cell r="C1256" t="str">
            <v>Footwear</v>
          </cell>
          <cell r="D1256" t="str">
            <v>SKEL TOP LOW</v>
          </cell>
          <cell r="E1256" t="str">
            <v>UPPER 1: 100% COW LEATHER, UPPER 2: 100% COW LEATHER, LINING: 100% POLYESTER MESH, OUTSOLE : 100% Rubber</v>
          </cell>
          <cell r="F1256" t="str">
            <v>VN</v>
          </cell>
          <cell r="I1256">
            <v>2</v>
          </cell>
          <cell r="J1256">
            <v>161.69999999999999</v>
          </cell>
          <cell r="K1256">
            <v>6403996040</v>
          </cell>
          <cell r="L1256" t="str">
            <v>6403.99.93.00.00</v>
          </cell>
        </row>
        <row r="1257">
          <cell r="B1257" t="str">
            <v>AMFOSR1104</v>
          </cell>
          <cell r="C1257" t="str">
            <v>Footwear</v>
          </cell>
          <cell r="D1257" t="str">
            <v>AMIRI SNAKE SKEL TOP LOW</v>
          </cell>
          <cell r="E1257" t="str">
            <v>UPPER 1: 100% COW LEATHER, UPPER 2: 100% COW LEATHER, LINING: 100% POLYESTER MESH, OUTSOLE : 100% Rubber</v>
          </cell>
          <cell r="F1257" t="str">
            <v>VN</v>
          </cell>
          <cell r="I1257">
            <v>1</v>
          </cell>
          <cell r="J1257">
            <v>83.879111840999997</v>
          </cell>
          <cell r="K1257">
            <v>6403996040</v>
          </cell>
          <cell r="L1257" t="str">
            <v>6403.99.93.00.00</v>
          </cell>
        </row>
        <row r="1258">
          <cell r="B1258" t="str">
            <v>AMHACP1049</v>
          </cell>
          <cell r="C1258" t="str">
            <v>Headwear</v>
          </cell>
          <cell r="D1258" t="str">
            <v>AMIRI STARBURST CANVAS HAT</v>
          </cell>
          <cell r="E1258" t="str">
            <v>100% COTTON</v>
          </cell>
          <cell r="F1258" t="str">
            <v>US</v>
          </cell>
          <cell r="I1258">
            <v>6</v>
          </cell>
          <cell r="J1258">
            <v>227.83446573299997</v>
          </cell>
          <cell r="K1258">
            <v>6505002590</v>
          </cell>
          <cell r="L1258" t="str">
            <v>6505.00.30.00.00</v>
          </cell>
        </row>
        <row r="1259">
          <cell r="B1259" t="str">
            <v>AMHACP1049</v>
          </cell>
          <cell r="C1259" t="str">
            <v>Headwear</v>
          </cell>
          <cell r="D1259" t="str">
            <v>AMIRI STARBURST CANVAS HAT</v>
          </cell>
          <cell r="E1259" t="str">
            <v>100% COTTON</v>
          </cell>
          <cell r="F1259" t="str">
            <v>US</v>
          </cell>
          <cell r="I1259">
            <v>8</v>
          </cell>
          <cell r="J1259">
            <v>329.92920450000003</v>
          </cell>
          <cell r="K1259">
            <v>6505002590</v>
          </cell>
          <cell r="L1259" t="str">
            <v>6505.00.30.00.00</v>
          </cell>
        </row>
        <row r="1260">
          <cell r="B1260" t="str">
            <v>AMHACP1050</v>
          </cell>
          <cell r="C1260" t="str">
            <v>Headwear</v>
          </cell>
          <cell r="D1260" t="str">
            <v>MA QUAD CANVAS HAT</v>
          </cell>
          <cell r="E1260" t="str">
            <v>100% COTTON</v>
          </cell>
          <cell r="F1260" t="str">
            <v>US</v>
          </cell>
          <cell r="I1260">
            <v>5</v>
          </cell>
          <cell r="J1260">
            <v>129.25977272250003</v>
          </cell>
          <cell r="K1260">
            <v>6505002590</v>
          </cell>
          <cell r="L1260" t="str">
            <v>6505.00.30.00.00</v>
          </cell>
        </row>
        <row r="1261">
          <cell r="B1261" t="str">
            <v>AMHACP1051</v>
          </cell>
          <cell r="C1261" t="str">
            <v>Headwear</v>
          </cell>
          <cell r="D1261" t="str">
            <v>3 STAR CANVAS HAT</v>
          </cell>
          <cell r="E1261" t="str">
            <v>100% COTTON</v>
          </cell>
          <cell r="F1261" t="str">
            <v>US</v>
          </cell>
          <cell r="I1261">
            <v>5</v>
          </cell>
          <cell r="J1261">
            <v>168.99622981500002</v>
          </cell>
          <cell r="K1261">
            <v>6505002590</v>
          </cell>
          <cell r="L1261" t="str">
            <v>6505.00.30.00.00</v>
          </cell>
        </row>
        <row r="1262">
          <cell r="B1262" t="str">
            <v>AMHACP1052</v>
          </cell>
          <cell r="C1262" t="str">
            <v>Headwear</v>
          </cell>
          <cell r="D1262" t="str">
            <v>MA CANVAS HAT</v>
          </cell>
          <cell r="E1262" t="str">
            <v>100% COTTON</v>
          </cell>
          <cell r="F1262" t="str">
            <v>US</v>
          </cell>
          <cell r="I1262">
            <v>6</v>
          </cell>
          <cell r="J1262">
            <v>154.245844242</v>
          </cell>
          <cell r="K1262">
            <v>6505002590</v>
          </cell>
          <cell r="L1262" t="str">
            <v>6505.00.30.00.00</v>
          </cell>
        </row>
        <row r="1263">
          <cell r="B1263" t="str">
            <v>AMHACP1056</v>
          </cell>
          <cell r="C1263" t="str">
            <v>Headwear</v>
          </cell>
          <cell r="D1263" t="str">
            <v>AMIRI STARBURST CRYSTAL HAT</v>
          </cell>
          <cell r="E1263" t="str">
            <v>100% COTTON</v>
          </cell>
          <cell r="F1263" t="str">
            <v>US</v>
          </cell>
          <cell r="I1263">
            <v>6</v>
          </cell>
          <cell r="J1263">
            <v>234.92699999999999</v>
          </cell>
          <cell r="K1263">
            <v>6505002590</v>
          </cell>
          <cell r="L1263" t="str">
            <v>6505.00.30.00.00</v>
          </cell>
        </row>
        <row r="1264">
          <cell r="B1264" t="str">
            <v>AMJYHD1099</v>
          </cell>
          <cell r="C1264" t="str">
            <v>Jersey</v>
          </cell>
          <cell r="D1264" t="str">
            <v>AMIRI SNAKE HOODIE</v>
          </cell>
          <cell r="E1264" t="str">
            <v>100% COTTON, HOOD LINING: 100% COTTON, POCKET LINING: 100% LYOCELL</v>
          </cell>
          <cell r="F1264" t="str">
            <v>US</v>
          </cell>
          <cell r="I1264">
            <v>1</v>
          </cell>
          <cell r="J1264">
            <v>119.7644999985</v>
          </cell>
          <cell r="K1264">
            <v>6110202069</v>
          </cell>
          <cell r="L1264" t="str">
            <v>6110.20.10.00.00</v>
          </cell>
        </row>
        <row r="1265">
          <cell r="B1265" t="str">
            <v>AMJYSP1018</v>
          </cell>
          <cell r="C1265" t="str">
            <v>Jersey</v>
          </cell>
          <cell r="D1265" t="str">
            <v>Amiri Arts District Sweatpant</v>
          </cell>
          <cell r="E1265" t="str">
            <v>100%COTTON, LINING: 100% LYOCELL</v>
          </cell>
          <cell r="F1265" t="str">
            <v>IT</v>
          </cell>
          <cell r="I1265">
            <v>2</v>
          </cell>
          <cell r="J1265">
            <v>181.299999993</v>
          </cell>
          <cell r="K1265">
            <v>6103421020</v>
          </cell>
          <cell r="L1265" t="str">
            <v>6103.42.00.00.00</v>
          </cell>
        </row>
        <row r="1266">
          <cell r="B1266" t="str">
            <v>AWBGTH1021</v>
          </cell>
          <cell r="C1266" t="str">
            <v>Bags</v>
          </cell>
          <cell r="D1266" t="str">
            <v>CRYSTAL MICRO MA BAG</v>
          </cell>
          <cell r="E1266" t="str">
            <v>100% BOVINE LEATHER, LINING: 40% POLYURETHAN 60% POLYESTER</v>
          </cell>
          <cell r="F1266" t="str">
            <v>IT</v>
          </cell>
          <cell r="I1266">
            <v>2</v>
          </cell>
          <cell r="J1266">
            <v>564.9</v>
          </cell>
          <cell r="K1266">
            <v>4202922000</v>
          </cell>
          <cell r="L1266" t="str">
            <v>4202.92.19.00.00</v>
          </cell>
        </row>
        <row r="1267">
          <cell r="B1267" t="str">
            <v>AWFOSR1085</v>
          </cell>
          <cell r="C1267" t="str">
            <v>Footwear</v>
          </cell>
          <cell r="D1267" t="str">
            <v>PACIFIC BONES</v>
          </cell>
          <cell r="E1267" t="str">
            <v>UPPER 1: 100% COW LEATHER, UPPER 2: 100% COW LEATHER, : 100% POLYESTER MESH, OUTSOLE :100% RUBBER</v>
          </cell>
          <cell r="F1267" t="str">
            <v>CN</v>
          </cell>
          <cell r="I1267">
            <v>1</v>
          </cell>
          <cell r="J1267">
            <v>72.047390625000006</v>
          </cell>
          <cell r="K1267">
            <v>6403999031</v>
          </cell>
          <cell r="L1267" t="str">
            <v>6403.99.93.00.00</v>
          </cell>
        </row>
        <row r="1268">
          <cell r="B1268" t="str">
            <v>AWFOSR1085</v>
          </cell>
          <cell r="C1268" t="str">
            <v>Footwear</v>
          </cell>
          <cell r="D1268" t="str">
            <v>PACIFIC BONES</v>
          </cell>
          <cell r="E1268" t="str">
            <v>UPPER 1: 100% COW LEATHER, UPPER 2: 100% COW LEATHER, : 100% POLYESTER MESH, OUTSOLE :100% RUBBER</v>
          </cell>
          <cell r="F1268" t="str">
            <v>CN</v>
          </cell>
          <cell r="I1268">
            <v>1</v>
          </cell>
          <cell r="J1268">
            <v>72.083146149000001</v>
          </cell>
          <cell r="K1268">
            <v>6403999031</v>
          </cell>
          <cell r="L1268" t="str">
            <v>6403.99.93.00.00</v>
          </cell>
        </row>
        <row r="1269">
          <cell r="B1269" t="str">
            <v>AWFOSR1085</v>
          </cell>
          <cell r="C1269" t="str">
            <v>Footwear</v>
          </cell>
          <cell r="D1269" t="str">
            <v>PACIFIC BONES</v>
          </cell>
          <cell r="E1269" t="str">
            <v>UPPER 1: 100% COW LEATHER, UPPER 2: 100% COW LEATHER, : 100% POLYESTER MESH, OUTSOLE :100% RUBBER</v>
          </cell>
          <cell r="F1269" t="str">
            <v>CN</v>
          </cell>
          <cell r="I1269">
            <v>1</v>
          </cell>
          <cell r="J1269">
            <v>72.2765281665</v>
          </cell>
          <cell r="K1269">
            <v>6403999031</v>
          </cell>
          <cell r="L1269" t="str">
            <v>6403.99.93.00.00</v>
          </cell>
        </row>
        <row r="1270">
          <cell r="B1270" t="str">
            <v>AWFOSR1085</v>
          </cell>
          <cell r="C1270" t="str">
            <v>Footwear</v>
          </cell>
          <cell r="D1270" t="str">
            <v>PACIFIC BONES</v>
          </cell>
          <cell r="E1270" t="str">
            <v>UPPER 1: 100% COW LEATHER, UPPER 2: 100% COW LEATHER, : 100% POLYESTER MESH, OUTSOLE :100% RUBBER</v>
          </cell>
          <cell r="F1270" t="str">
            <v>CN</v>
          </cell>
          <cell r="I1270">
            <v>1</v>
          </cell>
          <cell r="J1270">
            <v>73.171959682500002</v>
          </cell>
          <cell r="K1270">
            <v>6403999031</v>
          </cell>
          <cell r="L1270" t="str">
            <v>6403.99.93.00.00</v>
          </cell>
        </row>
        <row r="1271">
          <cell r="B1271" t="str">
            <v>AWFOSR1085</v>
          </cell>
          <cell r="C1271" t="str">
            <v>Footwear</v>
          </cell>
          <cell r="D1271" t="str">
            <v>PACIFIC BONES</v>
          </cell>
          <cell r="E1271" t="str">
            <v>UPPER 1: 100% COW LEATHER, UPPER 2: 100% COW LEATHER, : 100% POLYESTER MESH, OUTSOLE :100% RUBBER</v>
          </cell>
          <cell r="F1271" t="str">
            <v>CN</v>
          </cell>
          <cell r="I1271">
            <v>1</v>
          </cell>
          <cell r="J1271">
            <v>73.227323074499992</v>
          </cell>
          <cell r="K1271">
            <v>6403999031</v>
          </cell>
          <cell r="L1271" t="str">
            <v>6403.99.93.00.00</v>
          </cell>
        </row>
        <row r="1272">
          <cell r="B1272" t="str">
            <v>AWFOSR1085</v>
          </cell>
          <cell r="C1272" t="str">
            <v>Footwear</v>
          </cell>
          <cell r="D1272" t="str">
            <v>PACIFIC BONES</v>
          </cell>
          <cell r="E1272" t="str">
            <v>UPPER 1: 100% COW LEATHER, UPPER 2: 100% COW LEATHER, : 100% POLYESTER MESH, OUTSOLE :100% RUBBER</v>
          </cell>
          <cell r="F1272" t="str">
            <v>CN</v>
          </cell>
          <cell r="I1272">
            <v>1</v>
          </cell>
          <cell r="J1272">
            <v>74.371499999999997</v>
          </cell>
          <cell r="K1272">
            <v>6403999031</v>
          </cell>
          <cell r="L1272" t="str">
            <v>6403.99.93.00.00</v>
          </cell>
        </row>
        <row r="1273">
          <cell r="B1273" t="str">
            <v>U5019RG</v>
          </cell>
          <cell r="C1273" t="str">
            <v>Unisex Other Bottoms</v>
          </cell>
          <cell r="D1273" t="str">
            <v>Grey Sky Wash</v>
          </cell>
          <cell r="E1273" t="str">
            <v>65%COTTON 35%POLYESTER&gt;EXC...</v>
          </cell>
          <cell r="F1273" t="str">
            <v>VN</v>
          </cell>
          <cell r="H1273">
            <v>19.760000000000002</v>
          </cell>
          <cell r="I1273">
            <v>35</v>
          </cell>
          <cell r="J1273">
            <v>691.6</v>
          </cell>
          <cell r="K1273" t="str">
            <v>6104.62.2011</v>
          </cell>
          <cell r="L1273" t="str">
            <v>6104.62.00.00.00</v>
          </cell>
        </row>
        <row r="1274">
          <cell r="B1274" t="str">
            <v>W54162R</v>
          </cell>
          <cell r="C1274" t="str">
            <v>Women's Other Bottoms</v>
          </cell>
          <cell r="D1274" t="str">
            <v>Black</v>
          </cell>
          <cell r="E1274" t="str">
            <v>BODY: 65%COTTON 35%POLYESTE...</v>
          </cell>
          <cell r="F1274" t="str">
            <v>VN</v>
          </cell>
          <cell r="H1274">
            <v>18.16</v>
          </cell>
          <cell r="I1274">
            <v>45</v>
          </cell>
          <cell r="J1274">
            <v>817.2</v>
          </cell>
          <cell r="K1274" t="str">
            <v>6104.62.2011</v>
          </cell>
          <cell r="L1274" t="str">
            <v>6104.62.00.00.00</v>
          </cell>
        </row>
        <row r="1275">
          <cell r="B1275" t="str">
            <v>W54162R</v>
          </cell>
          <cell r="C1275" t="str">
            <v>Women's Other Bottoms</v>
          </cell>
          <cell r="D1275" t="str">
            <v>Ivory</v>
          </cell>
          <cell r="E1275" t="str">
            <v>BODY: 65%COTTON 35%POLYESTE...</v>
          </cell>
          <cell r="F1275" t="str">
            <v>VN</v>
          </cell>
          <cell r="H1275">
            <v>18.16</v>
          </cell>
          <cell r="I1275">
            <v>36</v>
          </cell>
          <cell r="J1275">
            <v>653.76</v>
          </cell>
          <cell r="K1275" t="str">
            <v>6104.62.2011</v>
          </cell>
          <cell r="L1275" t="str">
            <v>6104.62.00.00.00</v>
          </cell>
        </row>
        <row r="1276">
          <cell r="B1276" t="str">
            <v>W54180R</v>
          </cell>
          <cell r="C1276" t="str">
            <v>Women's Leggings</v>
          </cell>
          <cell r="D1276" t="str">
            <v>Black/White</v>
          </cell>
          <cell r="E1276" t="str">
            <v>77%POLYESTER 23%ELASTANE&gt;E...</v>
          </cell>
          <cell r="F1276" t="str">
            <v>KH</v>
          </cell>
          <cell r="H1276">
            <v>11.71</v>
          </cell>
          <cell r="I1276">
            <v>52</v>
          </cell>
          <cell r="J1276">
            <v>608.91999999999996</v>
          </cell>
          <cell r="K1276" t="str">
            <v>6104.63.2006</v>
          </cell>
          <cell r="L1276" t="str">
            <v>6115.22.00.00.00</v>
          </cell>
        </row>
        <row r="1277">
          <cell r="B1277" t="str">
            <v>W54180R</v>
          </cell>
          <cell r="C1277" t="str">
            <v>Women's Leggings</v>
          </cell>
          <cell r="D1277" t="str">
            <v>Smoky Quartz/White</v>
          </cell>
          <cell r="E1277" t="str">
            <v>77%POLYESTER 23%ELASTANE&gt;E...</v>
          </cell>
          <cell r="F1277" t="str">
            <v>KH</v>
          </cell>
          <cell r="H1277">
            <v>11.71</v>
          </cell>
          <cell r="I1277">
            <v>38</v>
          </cell>
          <cell r="J1277">
            <v>444.98</v>
          </cell>
          <cell r="K1277" t="str">
            <v>6104.63.2006</v>
          </cell>
          <cell r="L1277" t="str">
            <v>6115.22.00.00.00</v>
          </cell>
        </row>
        <row r="1278">
          <cell r="B1278" t="str">
            <v>M3210R</v>
          </cell>
          <cell r="C1278" t="str">
            <v>Men's Cover Ups</v>
          </cell>
          <cell r="D1278" t="str">
            <v>Black</v>
          </cell>
          <cell r="E1278" t="str">
            <v>BODY: 65%COTTON 35%POLYESTE...</v>
          </cell>
          <cell r="F1278" t="str">
            <v>VN</v>
          </cell>
          <cell r="H1278">
            <v>19.93</v>
          </cell>
          <cell r="I1278">
            <v>34</v>
          </cell>
          <cell r="J1278">
            <v>677.62</v>
          </cell>
          <cell r="K1278" t="str">
            <v>6110.20.2069</v>
          </cell>
          <cell r="L1278" t="str">
            <v>6110.20.91.00.00</v>
          </cell>
        </row>
        <row r="1279">
          <cell r="B1279" t="str">
            <v>M3210R</v>
          </cell>
          <cell r="C1279" t="str">
            <v>Men's Cover Ups</v>
          </cell>
          <cell r="D1279" t="str">
            <v>Athletic Heather Grey</v>
          </cell>
          <cell r="E1279" t="str">
            <v>BODY: 65%COTTON 35%POLYESTE...</v>
          </cell>
          <cell r="F1279" t="str">
            <v>VN</v>
          </cell>
          <cell r="H1279">
            <v>22.48</v>
          </cell>
          <cell r="I1279">
            <v>29</v>
          </cell>
          <cell r="J1279">
            <v>651.91999999999996</v>
          </cell>
          <cell r="K1279" t="str">
            <v>6110.20.2069</v>
          </cell>
          <cell r="L1279" t="str">
            <v>6110.20.91.00.00</v>
          </cell>
        </row>
        <row r="1280">
          <cell r="B1280" t="str">
            <v>W3771R</v>
          </cell>
          <cell r="C1280" t="str">
            <v>Women's Cover Ups</v>
          </cell>
          <cell r="D1280" t="str">
            <v>Grey Sky Wash</v>
          </cell>
          <cell r="E1280" t="str">
            <v>BODY: 65%COTTON 35%POLYESTE...</v>
          </cell>
          <cell r="F1280" t="str">
            <v>VN</v>
          </cell>
          <cell r="H1280">
            <v>23.26</v>
          </cell>
          <cell r="I1280">
            <v>35</v>
          </cell>
          <cell r="J1280">
            <v>814.1</v>
          </cell>
          <cell r="K1280" t="str">
            <v>6110.20.2079</v>
          </cell>
          <cell r="L1280" t="str">
            <v>6110.20.91.00.00</v>
          </cell>
        </row>
        <row r="1281">
          <cell r="B1281" t="str">
            <v>W3939R</v>
          </cell>
          <cell r="C1281" t="str">
            <v>Women's Cover Ups</v>
          </cell>
          <cell r="D1281" t="str">
            <v>Grey Sky Wash</v>
          </cell>
          <cell r="E1281" t="str">
            <v>BODY: 65%COTTON 35%POLYESTE...</v>
          </cell>
          <cell r="F1281" t="str">
            <v>VN</v>
          </cell>
          <cell r="H1281">
            <v>15.17</v>
          </cell>
          <cell r="I1281">
            <v>14</v>
          </cell>
          <cell r="J1281">
            <v>212.38</v>
          </cell>
          <cell r="K1281" t="str">
            <v>6114.20.0060</v>
          </cell>
          <cell r="L1281" t="str">
            <v>6114.20.00.00.00</v>
          </cell>
        </row>
        <row r="1282">
          <cell r="B1282" t="str">
            <v>W3939R</v>
          </cell>
          <cell r="C1282" t="str">
            <v>Women's Cover Ups</v>
          </cell>
          <cell r="D1282" t="str">
            <v>Cool Grey Wash</v>
          </cell>
          <cell r="E1282" t="str">
            <v>BODY: 65%COTTON 35%POLYESTE...</v>
          </cell>
          <cell r="F1282" t="str">
            <v>VN</v>
          </cell>
          <cell r="H1282">
            <v>15.17</v>
          </cell>
          <cell r="I1282">
            <v>17</v>
          </cell>
          <cell r="J1282">
            <v>257.89</v>
          </cell>
          <cell r="K1282" t="str">
            <v>6114.20.0060</v>
          </cell>
          <cell r="L1282" t="str">
            <v>6114.20.00.00.00</v>
          </cell>
        </row>
        <row r="1283">
          <cell r="B1283" t="str">
            <v>A0120U</v>
          </cell>
          <cell r="C1283" t="str">
            <v>Accessory - Socks</v>
          </cell>
          <cell r="D1283" t="str">
            <v>Black/Anthracite</v>
          </cell>
          <cell r="E1283" t="str">
            <v>65%COTTON 28%POLYESTER 5%L...</v>
          </cell>
          <cell r="F1283" t="str">
            <v>TW</v>
          </cell>
          <cell r="H1283">
            <v>1.95</v>
          </cell>
          <cell r="I1283">
            <v>208</v>
          </cell>
          <cell r="J1283">
            <v>405.6</v>
          </cell>
          <cell r="K1283" t="str">
            <v>6115.95.9000</v>
          </cell>
          <cell r="L1283" t="str">
            <v>6115.95.00.00.00</v>
          </cell>
        </row>
        <row r="1284">
          <cell r="B1284" t="str">
            <v>A0120U</v>
          </cell>
          <cell r="C1284" t="str">
            <v>Accessory - Socks</v>
          </cell>
          <cell r="D1284" t="str">
            <v>White/Dove Grey</v>
          </cell>
          <cell r="E1284" t="str">
            <v>59%COTTON 26%POLYESTER 10%...</v>
          </cell>
          <cell r="F1284" t="str">
            <v>TW</v>
          </cell>
          <cell r="H1284">
            <v>2.27</v>
          </cell>
          <cell r="I1284">
            <v>208</v>
          </cell>
          <cell r="J1284">
            <v>472.16</v>
          </cell>
          <cell r="K1284" t="str">
            <v>6115.95.9000</v>
          </cell>
          <cell r="L1284" t="str">
            <v>6115.95.00.00.00</v>
          </cell>
        </row>
        <row r="1285">
          <cell r="B1285" t="str">
            <v>A0051U</v>
          </cell>
          <cell r="C1285" t="str">
            <v>Accessory - Hair Management</v>
          </cell>
          <cell r="D1285" t="str">
            <v>Black</v>
          </cell>
          <cell r="E1285" t="str">
            <v>79%NYLON 21%ELASTANE&gt;EXCLU...</v>
          </cell>
          <cell r="F1285" t="str">
            <v>CN</v>
          </cell>
          <cell r="H1285">
            <v>2.23</v>
          </cell>
          <cell r="I1285">
            <v>150</v>
          </cell>
          <cell r="J1285">
            <v>334.5</v>
          </cell>
          <cell r="K1285" t="str">
            <v>6117.80.8500</v>
          </cell>
          <cell r="L1285" t="str">
            <v>6117.80.80.00.00</v>
          </cell>
        </row>
        <row r="1286">
          <cell r="B1286" t="str">
            <v>W6342R</v>
          </cell>
          <cell r="C1286" t="str">
            <v>Women's Shorts</v>
          </cell>
          <cell r="D1286" t="str">
            <v>Black</v>
          </cell>
          <cell r="E1286" t="str">
            <v>BODY: 100%CASHMERE&gt; CONTRA...</v>
          </cell>
          <cell r="F1286" t="str">
            <v>CN</v>
          </cell>
          <cell r="H1286">
            <v>35.82</v>
          </cell>
          <cell r="I1286">
            <v>60</v>
          </cell>
          <cell r="J1286">
            <v>2149.1999999999998</v>
          </cell>
          <cell r="K1286" t="str">
            <v>6104.61.0020</v>
          </cell>
          <cell r="L1286" t="str">
            <v>6104.61.00.00.00</v>
          </cell>
        </row>
        <row r="1287">
          <cell r="B1287" t="str">
            <v>W6342R</v>
          </cell>
          <cell r="C1287" t="str">
            <v>Women's Shorts</v>
          </cell>
          <cell r="D1287" t="str">
            <v>Ivory</v>
          </cell>
          <cell r="E1287" t="str">
            <v>BODY: 100%CASHMERE&gt; CONTRA...</v>
          </cell>
          <cell r="F1287" t="str">
            <v>CN</v>
          </cell>
          <cell r="H1287">
            <v>35.82</v>
          </cell>
          <cell r="I1287">
            <v>60</v>
          </cell>
          <cell r="J1287">
            <v>2149.1999999999998</v>
          </cell>
          <cell r="K1287" t="str">
            <v>6104.61.0020</v>
          </cell>
          <cell r="L1287" t="str">
            <v>6104.61.00.00.00</v>
          </cell>
        </row>
        <row r="1288">
          <cell r="B1288" t="str">
            <v>W54156R</v>
          </cell>
          <cell r="C1288" t="str">
            <v>Women's Trousers</v>
          </cell>
          <cell r="D1288" t="str">
            <v>Black</v>
          </cell>
          <cell r="E1288" t="str">
            <v>100%NYLON</v>
          </cell>
          <cell r="F1288" t="str">
            <v>VN</v>
          </cell>
          <cell r="H1288">
            <v>30.08</v>
          </cell>
          <cell r="I1288">
            <v>280</v>
          </cell>
          <cell r="J1288">
            <v>8422.4</v>
          </cell>
          <cell r="K1288" t="str">
            <v>6204.63.7590</v>
          </cell>
          <cell r="L1288" t="str">
            <v>6204.63.18.00.00</v>
          </cell>
        </row>
        <row r="1289">
          <cell r="B1289" t="str">
            <v>AMFOSR1065</v>
          </cell>
          <cell r="C1289" t="str">
            <v>Footwear</v>
          </cell>
          <cell r="D1289" t="str">
            <v>CRYSTAL MA-1</v>
          </cell>
          <cell r="E1289" t="str">
            <v>UPPER :50% PU+50%NYLONLINING: 100% POLYESTER MESHOUTSOLE : 100% Rubber</v>
          </cell>
          <cell r="F1289" t="str">
            <v>VN</v>
          </cell>
          <cell r="I1289">
            <v>1</v>
          </cell>
          <cell r="J1289">
            <v>130.62</v>
          </cell>
          <cell r="K1289">
            <v>6404000000</v>
          </cell>
          <cell r="L1289" t="str">
            <v>6404.11.00.00.00</v>
          </cell>
        </row>
        <row r="1290">
          <cell r="B1290" t="str">
            <v>AMFOSR1065</v>
          </cell>
          <cell r="C1290" t="str">
            <v>Footwear</v>
          </cell>
          <cell r="D1290" t="str">
            <v>CRYSTAL MA-1</v>
          </cell>
          <cell r="E1290" t="str">
            <v>UPPER :50% PU+50%NYLONLINING: 100% POLYESTER MESHOUTSOLE : 100% Rubber</v>
          </cell>
          <cell r="F1290" t="str">
            <v>VN</v>
          </cell>
          <cell r="I1290">
            <v>2</v>
          </cell>
          <cell r="J1290">
            <v>270.48</v>
          </cell>
          <cell r="K1290">
            <v>6404000000</v>
          </cell>
          <cell r="L1290" t="str">
            <v>6404.11.00.00.00</v>
          </cell>
        </row>
        <row r="1291">
          <cell r="B1291" t="str">
            <v>AMFOSR1065</v>
          </cell>
          <cell r="C1291" t="str">
            <v>Footwear</v>
          </cell>
          <cell r="D1291" t="str">
            <v>CRYSTAL MA-1</v>
          </cell>
          <cell r="E1291" t="str">
            <v>UPPER :50% PU+50%NYLONLINING: 100% POLYESTER MESHOUTSOLE : 100% Rubber</v>
          </cell>
          <cell r="F1291" t="str">
            <v>VN</v>
          </cell>
          <cell r="I1291">
            <v>1</v>
          </cell>
          <cell r="J1291">
            <v>150.26</v>
          </cell>
          <cell r="K1291">
            <v>6404000000</v>
          </cell>
          <cell r="L1291" t="str">
            <v>6404.11.00.00.00</v>
          </cell>
        </row>
        <row r="1292">
          <cell r="B1292" t="str">
            <v>AMFOSR1065</v>
          </cell>
          <cell r="C1292" t="str">
            <v>Footwear</v>
          </cell>
          <cell r="D1292" t="str">
            <v>CRYSTAL MA-1</v>
          </cell>
          <cell r="E1292" t="str">
            <v>UPPER :50% PU+50%NYLONLINING: 100% POLYESTER MESHOUTSOLE : 100% Rubber</v>
          </cell>
          <cell r="F1292" t="str">
            <v>VN</v>
          </cell>
          <cell r="I1292">
            <v>1</v>
          </cell>
          <cell r="J1292">
            <v>157.82</v>
          </cell>
          <cell r="K1292">
            <v>6404000000</v>
          </cell>
          <cell r="L1292" t="str">
            <v>6404.11.00.00.00</v>
          </cell>
        </row>
        <row r="1293">
          <cell r="B1293" t="str">
            <v>AMFOSR1065</v>
          </cell>
          <cell r="C1293" t="str">
            <v>Footwear</v>
          </cell>
          <cell r="D1293" t="str">
            <v>CRYSTAL MA-1</v>
          </cell>
          <cell r="E1293" t="str">
            <v>UPPER :50% PU+50%NYLONLINING: 100% POLYESTER MESHOUTSOLE : 100% Rubber</v>
          </cell>
          <cell r="F1293" t="str">
            <v>VN</v>
          </cell>
          <cell r="I1293">
            <v>1</v>
          </cell>
          <cell r="J1293">
            <v>541.07000000000005</v>
          </cell>
          <cell r="K1293">
            <v>6404000000</v>
          </cell>
          <cell r="L1293" t="str">
            <v>6404.11.00.00.00</v>
          </cell>
        </row>
        <row r="1294">
          <cell r="B1294" t="str">
            <v>AMHACP1044</v>
          </cell>
          <cell r="C1294" t="str">
            <v>Headwear</v>
          </cell>
          <cell r="D1294" t="str">
            <v>AMIRI HOLLYWOOD MUSIC CLUB</v>
          </cell>
          <cell r="E1294" t="str">
            <v>75% WOOL 25% POLYAMIDE</v>
          </cell>
          <cell r="F1294" t="str">
            <v>IT</v>
          </cell>
          <cell r="I1294">
            <v>5</v>
          </cell>
          <cell r="J1294">
            <v>283.5</v>
          </cell>
          <cell r="K1294">
            <v>6505000000</v>
          </cell>
          <cell r="L1294" t="str">
            <v>6505.00.30.00.00</v>
          </cell>
        </row>
        <row r="1295">
          <cell r="B1295" t="str">
            <v>AMJYPO1014</v>
          </cell>
          <cell r="C1295" t="str">
            <v>Jersey</v>
          </cell>
          <cell r="D1295" t="str">
            <v>STARBURST POLO</v>
          </cell>
          <cell r="E1295" t="str">
            <v>100% COTTON</v>
          </cell>
          <cell r="F1295" t="str">
            <v>IT</v>
          </cell>
          <cell r="I1295">
            <v>14</v>
          </cell>
          <cell r="J1295">
            <v>808.5</v>
          </cell>
          <cell r="K1295">
            <v>6105000000</v>
          </cell>
          <cell r="L1295" t="str">
            <v>6105.10.00.00.00</v>
          </cell>
        </row>
        <row r="1296">
          <cell r="B1296" t="str">
            <v>AMJYPO1015</v>
          </cell>
          <cell r="C1296" t="str">
            <v>Jersey</v>
          </cell>
          <cell r="D1296" t="str">
            <v>MA QUAD TOWELING POLO</v>
          </cell>
          <cell r="E1296" t="str">
            <v>80% COTTON 20% POLYAMIDE</v>
          </cell>
          <cell r="F1296" t="str">
            <v>IT</v>
          </cell>
          <cell r="I1296">
            <v>8</v>
          </cell>
          <cell r="J1296">
            <v>516.6</v>
          </cell>
          <cell r="K1296">
            <v>6105000000</v>
          </cell>
          <cell r="L1296" t="str">
            <v>6105.10.00.00.00</v>
          </cell>
        </row>
        <row r="1297">
          <cell r="B1297" t="str">
            <v>AMJYSH1039</v>
          </cell>
          <cell r="C1297" t="str">
            <v>Jersey</v>
          </cell>
          <cell r="D1297" t="str">
            <v>MA QUAD TOWELING SHORT</v>
          </cell>
          <cell r="E1297" t="str">
            <v>80% COTTON 20% POLYAMIDE</v>
          </cell>
          <cell r="F1297" t="str">
            <v>IT</v>
          </cell>
          <cell r="I1297">
            <v>4</v>
          </cell>
          <cell r="J1297">
            <v>264.60000000000002</v>
          </cell>
          <cell r="K1297">
            <v>6103000000</v>
          </cell>
          <cell r="L1297" t="str">
            <v>6103.42.00.00.00</v>
          </cell>
        </row>
        <row r="1298">
          <cell r="B1298" t="str">
            <v>AMPACA1034</v>
          </cell>
          <cell r="C1298" t="str">
            <v>Pants</v>
          </cell>
          <cell r="D1298" t="str">
            <v>STARBURST PULL ON BAGGY PANT</v>
          </cell>
          <cell r="E1298" t="str">
            <v>100% COTTON</v>
          </cell>
          <cell r="F1298" t="str">
            <v>IT</v>
          </cell>
          <cell r="I1298">
            <v>6</v>
          </cell>
          <cell r="J1298">
            <v>882</v>
          </cell>
          <cell r="K1298">
            <v>6103000000</v>
          </cell>
          <cell r="L1298" t="str">
            <v>6103.42.00.00.00</v>
          </cell>
        </row>
        <row r="1299">
          <cell r="B1299" t="str">
            <v>AMSTCA1097</v>
          </cell>
          <cell r="C1299" t="str">
            <v>Shirts</v>
          </cell>
          <cell r="D1299" t="str">
            <v>ROUND POCKET DRESS SHIRT</v>
          </cell>
          <cell r="E1299" t="str">
            <v>100% POLYESTER</v>
          </cell>
          <cell r="F1299" t="str">
            <v>IT</v>
          </cell>
          <cell r="I1299">
            <v>1</v>
          </cell>
          <cell r="J1299">
            <v>121.8</v>
          </cell>
          <cell r="K1299">
            <v>6105000000</v>
          </cell>
          <cell r="L1299" t="str">
            <v>6105.20.10.00.00</v>
          </cell>
        </row>
        <row r="1300">
          <cell r="B1300" t="str">
            <v>AWDNFR1014</v>
          </cell>
          <cell r="C1300" t="str">
            <v>Denim</v>
          </cell>
          <cell r="D1300" t="str">
            <v>MA QUAD EMBROIDERED FLARE</v>
          </cell>
          <cell r="E1300" t="str">
            <v>99% COTTON 1% ELASTANE</v>
          </cell>
          <cell r="F1300" t="str">
            <v>IT</v>
          </cell>
          <cell r="I1300">
            <v>6</v>
          </cell>
          <cell r="J1300">
            <v>938.7</v>
          </cell>
          <cell r="K1300">
            <v>6205000000</v>
          </cell>
          <cell r="L1300" t="str">
            <v>6205.20.00.00.18</v>
          </cell>
        </row>
        <row r="1301">
          <cell r="B1301" t="str">
            <v>AWSTCA1030</v>
          </cell>
          <cell r="C1301" t="str">
            <v>Shirts</v>
          </cell>
          <cell r="D1301" t="str">
            <v>MA QUAD SHIRT</v>
          </cell>
          <cell r="E1301" t="str">
            <v>100% SILK</v>
          </cell>
          <cell r="F1301" t="str">
            <v>IT</v>
          </cell>
          <cell r="I1301">
            <v>4</v>
          </cell>
          <cell r="J1301">
            <v>495.6</v>
          </cell>
          <cell r="K1301">
            <v>6206000000</v>
          </cell>
          <cell r="L1301" t="str">
            <v>6206.10.00.00.00</v>
          </cell>
        </row>
        <row r="1302">
          <cell r="B1302" t="str">
            <v>AWTPTT1014</v>
          </cell>
          <cell r="C1302" t="str">
            <v>Tops</v>
          </cell>
          <cell r="D1302" t="str">
            <v>OFF THE SHOULDER TOP</v>
          </cell>
          <cell r="E1302" t="str">
            <v>96% VISCOSE 4% ELASTANE</v>
          </cell>
          <cell r="F1302" t="str">
            <v>IT</v>
          </cell>
          <cell r="I1302">
            <v>4</v>
          </cell>
          <cell r="J1302">
            <v>382.2</v>
          </cell>
          <cell r="K1302">
            <v>6110000000</v>
          </cell>
          <cell r="L1302" t="str">
            <v>6110.30.10.00.00</v>
          </cell>
        </row>
        <row r="1303">
          <cell r="B1303" t="str">
            <v>W54207R</v>
          </cell>
          <cell r="C1303" t="str">
            <v>Women's Leggings</v>
          </cell>
          <cell r="D1303" t="str">
            <v>Grey Sky Wash</v>
          </cell>
          <cell r="E1303" t="str">
            <v>BODY: 87%POLYESTER 13%ELAST...</v>
          </cell>
          <cell r="F1303" t="str">
            <v>KH</v>
          </cell>
          <cell r="G1303" t="str">
            <v>Washed Alosoft HW Lnge Leg</v>
          </cell>
          <cell r="H1303">
            <v>13.36</v>
          </cell>
          <cell r="I1303">
            <v>38</v>
          </cell>
          <cell r="J1303">
            <v>507.67999999999995</v>
          </cell>
          <cell r="K1303" t="str">
            <v>6104.63.2006</v>
          </cell>
          <cell r="L1303" t="str">
            <v>6115.22.00.00.00</v>
          </cell>
        </row>
        <row r="1304">
          <cell r="B1304" t="str">
            <v>W2783R</v>
          </cell>
          <cell r="C1304" t="str">
            <v>Women's Tanks</v>
          </cell>
          <cell r="D1304" t="str">
            <v>Grey Sky Wash</v>
          </cell>
          <cell r="E1304" t="str">
            <v>87%POLYESTER 13%ELASTANE&gt;E...</v>
          </cell>
          <cell r="F1304" t="str">
            <v>KH</v>
          </cell>
          <cell r="G1304" t="str">
            <v>Washed Alosoft Sweet Talker Tk</v>
          </cell>
          <cell r="H1304">
            <v>8.68</v>
          </cell>
          <cell r="I1304">
            <v>35</v>
          </cell>
          <cell r="J1304">
            <v>303.8</v>
          </cell>
          <cell r="K1304" t="str">
            <v>6109.90.1065</v>
          </cell>
          <cell r="L1304" t="str">
            <v>6109.90.20.00.12</v>
          </cell>
        </row>
        <row r="1305">
          <cell r="B1305" t="str">
            <v>W1478R</v>
          </cell>
          <cell r="C1305" t="str">
            <v>Women's Short Sleeve Tops</v>
          </cell>
          <cell r="D1305" t="str">
            <v>Cool Grey Wash</v>
          </cell>
          <cell r="E1305" t="str">
            <v>87%POLYESTER 13%ELASTANE</v>
          </cell>
          <cell r="F1305" t="str">
            <v>KH</v>
          </cell>
          <cell r="G1305" t="str">
            <v>Washed Alosoft Crop Finesse SS</v>
          </cell>
          <cell r="H1305">
            <v>7.95</v>
          </cell>
          <cell r="I1305">
            <v>42</v>
          </cell>
          <cell r="J1305">
            <v>333.90000000000003</v>
          </cell>
          <cell r="K1305" t="str">
            <v>6114.30.1020</v>
          </cell>
          <cell r="L1305" t="str">
            <v>6114.30.00.00.11</v>
          </cell>
        </row>
        <row r="1306">
          <cell r="B1306" t="str">
            <v>W3930R</v>
          </cell>
          <cell r="C1306" t="str">
            <v>Women's Long Sleeve Tops</v>
          </cell>
          <cell r="D1306" t="str">
            <v>Grey Sky Wash</v>
          </cell>
          <cell r="E1306" t="str">
            <v>87%POLYESTER 13%ELASTANE</v>
          </cell>
          <cell r="F1306" t="str">
            <v>KH</v>
          </cell>
          <cell r="G1306" t="str">
            <v>Washed Alosoft Crop Finesse LS</v>
          </cell>
          <cell r="H1306">
            <v>10.15</v>
          </cell>
          <cell r="I1306">
            <v>29</v>
          </cell>
          <cell r="J1306">
            <v>294.35000000000002</v>
          </cell>
          <cell r="K1306" t="str">
            <v>6114.30.1020</v>
          </cell>
          <cell r="L1306" t="str">
            <v>6114.30.00.00.11</v>
          </cell>
        </row>
        <row r="1307">
          <cell r="B1307" t="str">
            <v>M3299R</v>
          </cell>
          <cell r="C1307" t="str">
            <v>Men's Long Sleeve Tops</v>
          </cell>
          <cell r="D1307" t="str">
            <v>White</v>
          </cell>
          <cell r="E1307" t="str">
            <v>47%MODAL 47%COTTON 6%ELASTANE</v>
          </cell>
          <cell r="F1307" t="str">
            <v>VN</v>
          </cell>
          <cell r="G1307" t="str">
            <v>Double Take Long Sleeve Crew</v>
          </cell>
          <cell r="H1307">
            <v>12.4</v>
          </cell>
          <cell r="I1307">
            <v>45</v>
          </cell>
          <cell r="J1307">
            <v>558</v>
          </cell>
          <cell r="K1307" t="str">
            <v>6110.30.3053</v>
          </cell>
          <cell r="L1307" t="str">
            <v>6110.30.91.00.00</v>
          </cell>
        </row>
        <row r="1308">
          <cell r="B1308" t="str">
            <v>M3299R</v>
          </cell>
          <cell r="C1308" t="str">
            <v>Men's Long Sleeve Tops</v>
          </cell>
          <cell r="D1308" t="str">
            <v>Athletic Heather Grey</v>
          </cell>
          <cell r="E1308" t="str">
            <v>47%MODAL 47%COTTON 6%ELAST...</v>
          </cell>
          <cell r="F1308" t="str">
            <v>VN</v>
          </cell>
          <cell r="G1308" t="str">
            <v>Double Take Long Sleeve Crew</v>
          </cell>
          <cell r="H1308">
            <v>14.51</v>
          </cell>
          <cell r="I1308">
            <v>37</v>
          </cell>
          <cell r="J1308">
            <v>536.87</v>
          </cell>
          <cell r="K1308" t="str">
            <v>6110.30.3053</v>
          </cell>
          <cell r="L1308" t="str">
            <v>6110.30.91.00.00</v>
          </cell>
        </row>
        <row r="1309">
          <cell r="B1309" t="str">
            <v>M6144R</v>
          </cell>
          <cell r="C1309" t="str">
            <v>Men's Shorts</v>
          </cell>
          <cell r="D1309" t="str">
            <v>Black</v>
          </cell>
          <cell r="E1309" t="str">
            <v>BODY: 100%NYLON&gt;POCKET: 100...</v>
          </cell>
          <cell r="F1309" t="str">
            <v>VN</v>
          </cell>
          <cell r="G1309" t="str">
            <v>7'' Crnkl Nyln Exrsn Crgo Shrt</v>
          </cell>
          <cell r="H1309">
            <v>16.850000000000001</v>
          </cell>
          <cell r="I1309">
            <v>30</v>
          </cell>
          <cell r="J1309">
            <v>505.50000000000006</v>
          </cell>
          <cell r="K1309" t="str">
            <v>6203.43.9030</v>
          </cell>
          <cell r="L1309" t="str">
            <v>6203.43.19.00.00</v>
          </cell>
        </row>
        <row r="1310">
          <cell r="B1310" t="str">
            <v>U6009R</v>
          </cell>
          <cell r="C1310" t="str">
            <v>Unisex Shorts</v>
          </cell>
          <cell r="D1310" t="str">
            <v>Athletic Heather Grey Tonal</v>
          </cell>
          <cell r="E1310" t="str">
            <v>BODY: 65%COTTON 35%POLYESTE...</v>
          </cell>
          <cell r="F1310" t="str">
            <v>ID</v>
          </cell>
          <cell r="G1310" t="str">
            <v>7'' Make Waves Short</v>
          </cell>
          <cell r="H1310">
            <v>12.96</v>
          </cell>
          <cell r="I1310">
            <v>34</v>
          </cell>
          <cell r="J1310">
            <v>440.64000000000004</v>
          </cell>
          <cell r="K1310" t="str">
            <v>6103.42.1050</v>
          </cell>
          <cell r="L1310" t="str">
            <v>6103.42.00.00.00</v>
          </cell>
        </row>
        <row r="1311">
          <cell r="B1311" t="str">
            <v>U6009R</v>
          </cell>
          <cell r="C1311" t="str">
            <v>Unisex Shorts</v>
          </cell>
          <cell r="D1311" t="str">
            <v>Dark Heather Grey Tonal</v>
          </cell>
          <cell r="E1311" t="str">
            <v>65%COTTON 35%POLYESTER&gt;EXC...</v>
          </cell>
          <cell r="F1311" t="str">
            <v>ID</v>
          </cell>
          <cell r="G1311" t="str">
            <v>7'' Make Waves Short</v>
          </cell>
          <cell r="H1311">
            <v>12.96</v>
          </cell>
          <cell r="I1311">
            <v>40</v>
          </cell>
          <cell r="J1311">
            <v>518.40000000000009</v>
          </cell>
          <cell r="K1311" t="str">
            <v>6103.42.1050</v>
          </cell>
          <cell r="L1311" t="str">
            <v>6103.42.00.00.00</v>
          </cell>
        </row>
        <row r="1312">
          <cell r="B1312" t="str">
            <v>W6453R</v>
          </cell>
          <cell r="C1312" t="str">
            <v>Women's Shorts</v>
          </cell>
          <cell r="D1312" t="str">
            <v>Pink Quartz/Ivory</v>
          </cell>
          <cell r="E1312" t="str">
            <v>86%POLYESTER 14%ELASTANE</v>
          </cell>
          <cell r="F1312" t="str">
            <v>VN</v>
          </cell>
          <cell r="G1312" t="str">
            <v>Pinstripe Daylight Boxer Short</v>
          </cell>
          <cell r="H1312">
            <v>13.06</v>
          </cell>
          <cell r="I1312">
            <v>33</v>
          </cell>
          <cell r="J1312">
            <v>430.98</v>
          </cell>
          <cell r="K1312" t="str">
            <v>6204.63.9032</v>
          </cell>
          <cell r="L1312" t="str">
            <v>6204.63.18.00.00</v>
          </cell>
        </row>
        <row r="1313">
          <cell r="B1313" t="str">
            <v>W3893R</v>
          </cell>
          <cell r="C1313" t="str">
            <v>Women's Long Sleeve Tops</v>
          </cell>
          <cell r="D1313" t="str">
            <v>Pink Quartz/Ivory</v>
          </cell>
          <cell r="E1313" t="str">
            <v>86%POLYESTER 14%ELASTANE&gt;E...</v>
          </cell>
          <cell r="F1313" t="str">
            <v>ID</v>
          </cell>
          <cell r="G1313" t="str">
            <v>Pinstripe Daylight Bttn Dwn LS</v>
          </cell>
          <cell r="H1313">
            <v>24.12</v>
          </cell>
          <cell r="I1313">
            <v>35</v>
          </cell>
          <cell r="J1313">
            <v>844.2</v>
          </cell>
          <cell r="K1313" t="str">
            <v>6206.40.3035</v>
          </cell>
          <cell r="L1313" t="str">
            <v>6206.40.00.00.00</v>
          </cell>
        </row>
        <row r="1314">
          <cell r="B1314" t="str">
            <v>W3923R</v>
          </cell>
          <cell r="C1314" t="str">
            <v>Women's Outerwear</v>
          </cell>
          <cell r="D1314" t="str">
            <v>Black</v>
          </cell>
          <cell r="E1314" t="str">
            <v>83%NYLON 17%ELASTANE&gt;EXCLU...</v>
          </cell>
          <cell r="F1314" t="str">
            <v>ID</v>
          </cell>
          <cell r="G1314" t="str">
            <v>Crpd Effortless Full-Zip Hdie</v>
          </cell>
          <cell r="H1314">
            <v>18.260000000000002</v>
          </cell>
          <cell r="I1314">
            <v>35</v>
          </cell>
          <cell r="J1314">
            <v>639.1</v>
          </cell>
          <cell r="K1314" t="str">
            <v>6211.43.1078</v>
          </cell>
          <cell r="L1314" t="str">
            <v>6211.43.41.00.00</v>
          </cell>
        </row>
        <row r="1315">
          <cell r="B1315" t="str">
            <v>W3923R</v>
          </cell>
          <cell r="C1315" t="str">
            <v>Women's Outerwear</v>
          </cell>
          <cell r="D1315" t="str">
            <v>Smoky Quartz</v>
          </cell>
          <cell r="E1315" t="str">
            <v>83%NYLON 17%ELASTANE&gt;EXCLU...</v>
          </cell>
          <cell r="F1315" t="str">
            <v>ID</v>
          </cell>
          <cell r="G1315" t="str">
            <v>Crpd Effortless Full-Zip Hdie</v>
          </cell>
          <cell r="H1315">
            <v>18.260000000000002</v>
          </cell>
          <cell r="I1315">
            <v>40</v>
          </cell>
          <cell r="J1315">
            <v>730.40000000000009</v>
          </cell>
          <cell r="K1315" t="str">
            <v>6211.43.1078</v>
          </cell>
          <cell r="L1315" t="str">
            <v>6211.43.41.00.00</v>
          </cell>
        </row>
        <row r="1316">
          <cell r="B1316" t="str">
            <v>M6171R</v>
          </cell>
          <cell r="C1316" t="str">
            <v>Men's Shorts</v>
          </cell>
          <cell r="D1316" t="str">
            <v>Black</v>
          </cell>
          <cell r="E1316" t="str">
            <v>BODY: 100% COTTON&gt;POCKET: 65...</v>
          </cell>
          <cell r="F1316" t="str">
            <v>KH</v>
          </cell>
          <cell r="G1316" t="str">
            <v>7" Sports Club Sweater Knit Sh</v>
          </cell>
          <cell r="H1316">
            <v>20.68</v>
          </cell>
          <cell r="I1316">
            <v>85</v>
          </cell>
          <cell r="J1316">
            <v>1757.8</v>
          </cell>
          <cell r="K1316" t="str">
            <v>6103.42.1050</v>
          </cell>
          <cell r="L1316" t="str">
            <v>6103.42.00.00.00</v>
          </cell>
        </row>
        <row r="1317">
          <cell r="B1317" t="str">
            <v>M6171R</v>
          </cell>
          <cell r="C1317" t="str">
            <v>Men's Shorts</v>
          </cell>
          <cell r="D1317" t="str">
            <v>Ivory</v>
          </cell>
          <cell r="E1317" t="str">
            <v>BODY: 100% COTTON&gt;POCKET: 65...</v>
          </cell>
          <cell r="F1317" t="str">
            <v>KH</v>
          </cell>
          <cell r="G1317" t="str">
            <v>7" Sports Club Sweater Knit Sh</v>
          </cell>
          <cell r="H1317">
            <v>20.68</v>
          </cell>
          <cell r="I1317">
            <v>76</v>
          </cell>
          <cell r="J1317">
            <v>1571.68</v>
          </cell>
          <cell r="K1317" t="str">
            <v>6103.42.1050</v>
          </cell>
          <cell r="L1317" t="str">
            <v>6103.42.00.00.00</v>
          </cell>
        </row>
        <row r="1318">
          <cell r="B1318" t="str">
            <v>M1250R</v>
          </cell>
          <cell r="C1318" t="str">
            <v>Men's Short Sleeve Tops</v>
          </cell>
          <cell r="D1318" t="str">
            <v>Black</v>
          </cell>
          <cell r="E1318" t="str">
            <v>100% COTTON&gt;EXCLUSIVE OF TRIMMING</v>
          </cell>
          <cell r="F1318" t="str">
            <v>KH</v>
          </cell>
          <cell r="G1318" t="str">
            <v>Sports Club Sweater Knit Polo</v>
          </cell>
          <cell r="H1318">
            <v>23.11</v>
          </cell>
          <cell r="I1318">
            <v>100</v>
          </cell>
          <cell r="J1318">
            <v>2311</v>
          </cell>
          <cell r="K1318" t="str">
            <v>6105.10.0010</v>
          </cell>
          <cell r="L1318" t="str">
            <v>6105.10.00.00.00</v>
          </cell>
        </row>
        <row r="1319">
          <cell r="B1319" t="str">
            <v>M1250R</v>
          </cell>
          <cell r="C1319" t="str">
            <v>Men's Short Sleeve Tops</v>
          </cell>
          <cell r="D1319" t="str">
            <v>Ivory</v>
          </cell>
          <cell r="E1319" t="str">
            <v>100% COTTON&gt;EXCLUSIVE OF TRIMMING</v>
          </cell>
          <cell r="F1319" t="str">
            <v>KH</v>
          </cell>
          <cell r="G1319" t="str">
            <v>Sports Club Sweater Knit Polo</v>
          </cell>
          <cell r="H1319">
            <v>23.11</v>
          </cell>
          <cell r="I1319">
            <v>95</v>
          </cell>
          <cell r="J1319">
            <v>2195.4499999999998</v>
          </cell>
          <cell r="K1319" t="str">
            <v>6105.10.0010</v>
          </cell>
          <cell r="L1319" t="str">
            <v>6105.10.00.00.00</v>
          </cell>
        </row>
        <row r="1320">
          <cell r="B1320" t="str">
            <v>W2763R</v>
          </cell>
          <cell r="C1320" t="str">
            <v>Women's Tanks</v>
          </cell>
          <cell r="D1320" t="str">
            <v>Black</v>
          </cell>
          <cell r="E1320" t="str">
            <v>90%NYLON 10%ELASTANE</v>
          </cell>
          <cell r="F1320" t="str">
            <v>CN</v>
          </cell>
          <cell r="G1320" t="str">
            <v>Sheer Glow Tank</v>
          </cell>
          <cell r="H1320">
            <v>5.13</v>
          </cell>
          <cell r="I1320">
            <v>80</v>
          </cell>
          <cell r="J1320">
            <v>410.4</v>
          </cell>
          <cell r="K1320" t="str">
            <v>6109.90.1065</v>
          </cell>
          <cell r="L1320" t="str">
            <v>6109.90.20.00.12</v>
          </cell>
        </row>
        <row r="1321">
          <cell r="B1321" t="str">
            <v>W2763R</v>
          </cell>
          <cell r="C1321" t="str">
            <v>Women's Tanks</v>
          </cell>
          <cell r="D1321" t="str">
            <v>Ivory</v>
          </cell>
          <cell r="E1321" t="str">
            <v>90%NYLON 10%ELASTANE</v>
          </cell>
          <cell r="F1321" t="str">
            <v>CN</v>
          </cell>
          <cell r="G1321" t="str">
            <v>Sheer Glow Tank</v>
          </cell>
          <cell r="H1321">
            <v>5.13</v>
          </cell>
          <cell r="I1321">
            <v>72</v>
          </cell>
          <cell r="J1321">
            <v>369.36</v>
          </cell>
          <cell r="K1321" t="str">
            <v>6109.90.1065</v>
          </cell>
          <cell r="L1321" t="str">
            <v>6109.90.20.00.12</v>
          </cell>
        </row>
        <row r="1322">
          <cell r="B1322" t="str">
            <v>W3905R</v>
          </cell>
          <cell r="C1322" t="str">
            <v>Women's Cover Ups</v>
          </cell>
          <cell r="D1322" t="str">
            <v>Black</v>
          </cell>
          <cell r="E1322" t="str">
            <v>BODY: 65%COTTON 35%POLYESTE...</v>
          </cell>
          <cell r="F1322" t="str">
            <v>VN</v>
          </cell>
          <cell r="G1322" t="str">
            <v>Extreme Cropped Pullover</v>
          </cell>
          <cell r="H1322">
            <v>11.4</v>
          </cell>
          <cell r="I1322">
            <v>140</v>
          </cell>
          <cell r="J1322">
            <v>1596</v>
          </cell>
          <cell r="K1322" t="str">
            <v>6114.20.0060</v>
          </cell>
          <cell r="L1322" t="str">
            <v>6114.20.00.00.00</v>
          </cell>
        </row>
        <row r="1323">
          <cell r="B1323" t="str">
            <v>W3905R</v>
          </cell>
          <cell r="C1323" t="str">
            <v>Women's Cover Ups</v>
          </cell>
          <cell r="D1323" t="str">
            <v>Ivory</v>
          </cell>
          <cell r="E1323" t="str">
            <v>BODY: 65%COTTON 35%POLYESTE...</v>
          </cell>
          <cell r="F1323" t="str">
            <v>VN</v>
          </cell>
          <cell r="G1323" t="str">
            <v>Extreme Cropped Pullover</v>
          </cell>
          <cell r="H1323">
            <v>11.4</v>
          </cell>
          <cell r="I1323">
            <v>30</v>
          </cell>
          <cell r="J1323">
            <v>342</v>
          </cell>
          <cell r="K1323" t="str">
            <v>6114.20.0060</v>
          </cell>
          <cell r="L1323" t="str">
            <v>6114.20.00.00.00</v>
          </cell>
        </row>
        <row r="1324">
          <cell r="B1324" t="str">
            <v>W2791R</v>
          </cell>
          <cell r="C1324" t="str">
            <v>Women's Tanks</v>
          </cell>
          <cell r="D1324" t="str">
            <v>Black</v>
          </cell>
          <cell r="E1324" t="str">
            <v>93%MODAL 7%ELASTANE</v>
          </cell>
          <cell r="F1324" t="str">
            <v>VN</v>
          </cell>
          <cell r="G1324" t="str">
            <v>Ribbed Delicate Lounge Tank</v>
          </cell>
          <cell r="H1324">
            <v>8.66</v>
          </cell>
          <cell r="I1324">
            <v>30</v>
          </cell>
          <cell r="J1324">
            <v>259.8</v>
          </cell>
          <cell r="K1324" t="str">
            <v>6114.30.1020</v>
          </cell>
          <cell r="L1324" t="str">
            <v>6114.30.00.00.11</v>
          </cell>
        </row>
        <row r="1325">
          <cell r="B1325" t="str">
            <v>W2791R</v>
          </cell>
          <cell r="C1325" t="str">
            <v>Women's Tanks</v>
          </cell>
          <cell r="D1325" t="str">
            <v>Taupe</v>
          </cell>
          <cell r="E1325" t="str">
            <v>93%MODAL 7%ELASTANE</v>
          </cell>
          <cell r="F1325" t="str">
            <v>VN</v>
          </cell>
          <cell r="G1325" t="str">
            <v>Ribbed Delicate Lounge Tank</v>
          </cell>
          <cell r="H1325">
            <v>8.66</v>
          </cell>
          <cell r="I1325">
            <v>30</v>
          </cell>
          <cell r="J1325">
            <v>259.8</v>
          </cell>
          <cell r="K1325" t="str">
            <v>6114.30.1020</v>
          </cell>
          <cell r="L1325" t="str">
            <v>6114.30.00.00.11</v>
          </cell>
        </row>
        <row r="1326">
          <cell r="B1326" t="str">
            <v>A0485W</v>
          </cell>
          <cell r="C1326" t="str">
            <v>Accessory - Socks</v>
          </cell>
          <cell r="D1326" t="str">
            <v>White</v>
          </cell>
          <cell r="E1326" t="str">
            <v>95%POLYESTER 3%ELASTANE 2%...</v>
          </cell>
          <cell r="F1326" t="str">
            <v>CN</v>
          </cell>
          <cell r="G1326" t="str">
            <v>Women's Pulse Grip Sock</v>
          </cell>
          <cell r="H1326">
            <v>3.25</v>
          </cell>
          <cell r="I1326">
            <v>220</v>
          </cell>
          <cell r="J1326">
            <v>715</v>
          </cell>
          <cell r="K1326" t="str">
            <v>6115.96.9020</v>
          </cell>
          <cell r="L1326" t="str">
            <v>6115.96.91.00.00</v>
          </cell>
        </row>
        <row r="1327">
          <cell r="B1327" t="str">
            <v>A0059U</v>
          </cell>
          <cell r="C1327" t="str">
            <v>Accessory - Equipment</v>
          </cell>
          <cell r="D1327" t="str">
            <v>White</v>
          </cell>
          <cell r="E1327" t="str">
            <v>90%NYLON 10%ELASTODIENE&gt;EX...</v>
          </cell>
          <cell r="F1327" t="str">
            <v>TH</v>
          </cell>
          <cell r="G1327" t="str">
            <v>Glow Wristband (2-Pack)</v>
          </cell>
          <cell r="H1327">
            <v>1.84</v>
          </cell>
          <cell r="I1327">
            <v>175</v>
          </cell>
          <cell r="J1327">
            <v>322</v>
          </cell>
          <cell r="K1327" t="str">
            <v>6307.90.9891</v>
          </cell>
          <cell r="L1327" t="str">
            <v>6307.90.98.00.19</v>
          </cell>
        </row>
        <row r="1328">
          <cell r="B1328" t="str">
            <v>A0112U</v>
          </cell>
          <cell r="C1328" t="str">
            <v>Accessory - Hair Management</v>
          </cell>
          <cell r="D1328" t="str">
            <v>Black/White</v>
          </cell>
          <cell r="E1328" t="str">
            <v>90%NYLON 10%ELASTODIENE&gt;EX...</v>
          </cell>
          <cell r="F1328" t="str">
            <v>TH</v>
          </cell>
          <cell r="G1328" t="str">
            <v>Glow Sweatband (2-Pack)</v>
          </cell>
          <cell r="H1328">
            <v>3.41</v>
          </cell>
          <cell r="I1328">
            <v>170</v>
          </cell>
          <cell r="J1328">
            <v>579.70000000000005</v>
          </cell>
          <cell r="K1328" t="str">
            <v>6307.90.9891</v>
          </cell>
          <cell r="L1328" t="str">
            <v>6307.90.98.00.19</v>
          </cell>
        </row>
        <row r="1329">
          <cell r="B1329" t="str">
            <v>W6441R</v>
          </cell>
          <cell r="C1329" t="str">
            <v>Women's Skirts</v>
          </cell>
          <cell r="D1329" t="str">
            <v>Smoky Quartz</v>
          </cell>
          <cell r="E1329" t="str">
            <v>SHELL: 95% POLYESTER 5%ELAST...</v>
          </cell>
          <cell r="F1329" t="str">
            <v>ID</v>
          </cell>
          <cell r="G1329" t="str">
            <v>Mesh Baseline Tennis Skirt</v>
          </cell>
          <cell r="H1329">
            <v>20.49</v>
          </cell>
          <cell r="I1329">
            <v>39</v>
          </cell>
          <cell r="J1329">
            <v>799.11</v>
          </cell>
          <cell r="K1329" t="str">
            <v>6104.53.2010</v>
          </cell>
          <cell r="L1329" t="str">
            <v>6104.53.00.00.00</v>
          </cell>
        </row>
        <row r="1330">
          <cell r="B1330" t="str">
            <v>W9797R</v>
          </cell>
          <cell r="C1330" t="str">
            <v>Women's Bras</v>
          </cell>
          <cell r="D1330" t="str">
            <v>Crystal Clear Blue</v>
          </cell>
          <cell r="E1330" t="str">
            <v>BODY: 77%POLYESTER 23%ELAST...</v>
          </cell>
          <cell r="F1330" t="str">
            <v>ID</v>
          </cell>
          <cell r="G1330" t="str">
            <v>Airlift Empower Bra</v>
          </cell>
          <cell r="H1330">
            <v>21.2</v>
          </cell>
          <cell r="I1330">
            <v>35</v>
          </cell>
          <cell r="J1330">
            <v>742</v>
          </cell>
          <cell r="K1330" t="str">
            <v>6212.10.9020</v>
          </cell>
          <cell r="L1330" t="str">
            <v>6212.10.90.00.00</v>
          </cell>
        </row>
        <row r="1331">
          <cell r="B1331" t="str">
            <v>W9824R</v>
          </cell>
          <cell r="C1331" t="str">
            <v>Women's Bras</v>
          </cell>
          <cell r="D1331" t="str">
            <v>Black/White</v>
          </cell>
          <cell r="E1331" t="str">
            <v>BODY: 77%POLYESTER 23%ELAST...</v>
          </cell>
          <cell r="F1331" t="str">
            <v>KH</v>
          </cell>
          <cell r="G1331" t="str">
            <v>Airlift Alignment Bra</v>
          </cell>
          <cell r="H1331">
            <v>8.94</v>
          </cell>
          <cell r="I1331">
            <v>58</v>
          </cell>
          <cell r="J1331">
            <v>518.52</v>
          </cell>
          <cell r="K1331" t="str">
            <v>6212.10.9020</v>
          </cell>
          <cell r="L1331" t="str">
            <v>6212.10.90.00.00</v>
          </cell>
        </row>
        <row r="1332">
          <cell r="B1332" t="str">
            <v>W9824R</v>
          </cell>
          <cell r="C1332" t="str">
            <v>Women's Bras</v>
          </cell>
          <cell r="D1332" t="str">
            <v>Smoky Quartz/White</v>
          </cell>
          <cell r="E1332" t="str">
            <v>BODY: 77%POLYESTER 23%ELAST...</v>
          </cell>
          <cell r="F1332" t="str">
            <v>KH</v>
          </cell>
          <cell r="G1332" t="str">
            <v>Airlift Alignment Bra</v>
          </cell>
          <cell r="H1332">
            <v>8.94</v>
          </cell>
          <cell r="I1332">
            <v>42</v>
          </cell>
          <cell r="J1332">
            <v>375.48</v>
          </cell>
          <cell r="K1332" t="str">
            <v>6212.10.9020</v>
          </cell>
          <cell r="L1332" t="str">
            <v>6212.10.90.00.00</v>
          </cell>
        </row>
        <row r="1333">
          <cell r="B1333" t="str">
            <v>W9829R</v>
          </cell>
          <cell r="C1333" t="str">
            <v>Women's Tanks</v>
          </cell>
          <cell r="D1333" t="str">
            <v>MSHRM</v>
          </cell>
          <cell r="E1333" t="str">
            <v>77%POLYESTER 23%ELASTANE</v>
          </cell>
          <cell r="F1333" t="str">
            <v>ID</v>
          </cell>
          <cell r="G1333" t="str">
            <v>Airlift Sleek Bra Tank</v>
          </cell>
          <cell r="H1333">
            <v>11.59</v>
          </cell>
          <cell r="I1333">
            <v>48</v>
          </cell>
          <cell r="J1333">
            <v>556.32000000000005</v>
          </cell>
          <cell r="K1333" t="str">
            <v>6212.10.9020</v>
          </cell>
          <cell r="L1333" t="str">
            <v>6212.10.90.00.00</v>
          </cell>
        </row>
        <row r="1334">
          <cell r="B1334" t="str">
            <v>A0734U</v>
          </cell>
          <cell r="C1334" t="str">
            <v>Accessory - Hair Management</v>
          </cell>
          <cell r="D1334" t="str">
            <v>Black/White</v>
          </cell>
          <cell r="E1334" t="str">
            <v>100% ACETATE</v>
          </cell>
          <cell r="F1334" t="str">
            <v>CN</v>
          </cell>
          <cell r="G1334" t="str">
            <v>Outline Claw Clip</v>
          </cell>
          <cell r="H1334">
            <v>6.13</v>
          </cell>
          <cell r="I1334">
            <v>200</v>
          </cell>
          <cell r="J1334">
            <v>1226</v>
          </cell>
          <cell r="K1334" t="str">
            <v>9615.11.4000</v>
          </cell>
          <cell r="L1334" t="str">
            <v>9615.11.00.00.00</v>
          </cell>
        </row>
        <row r="1335">
          <cell r="B1335" t="str">
            <v>W4575R</v>
          </cell>
          <cell r="C1335" t="str">
            <v>Women's Outerwear</v>
          </cell>
          <cell r="D1335" t="str">
            <v>Crystal Clear Blue</v>
          </cell>
          <cell r="E1335" t="str">
            <v>BODY: 100%POLYESTER&gt;CONTRA...</v>
          </cell>
          <cell r="F1335" t="str">
            <v>CN</v>
          </cell>
          <cell r="G1335" t="str">
            <v>Cropped Playmaker Jacket</v>
          </cell>
          <cell r="H1335">
            <v>24.65</v>
          </cell>
          <cell r="I1335">
            <v>32</v>
          </cell>
          <cell r="J1335">
            <v>788.8</v>
          </cell>
          <cell r="K1335" t="str">
            <v>6211.43.1078</v>
          </cell>
          <cell r="L1335" t="str">
            <v>6211.43.41.00.00</v>
          </cell>
        </row>
        <row r="1336">
          <cell r="B1336" t="str">
            <v>M5226R</v>
          </cell>
          <cell r="C1336" t="str">
            <v>Men's Bottoms/Pants</v>
          </cell>
          <cell r="D1336" t="str">
            <v>Black</v>
          </cell>
          <cell r="E1336" t="str">
            <v>87%POLYESTER 13%ELASTANE&gt;E...</v>
          </cell>
          <cell r="F1336" t="str">
            <v>VN</v>
          </cell>
          <cell r="G1336" t="str">
            <v>Conquer Max Performance Jogger</v>
          </cell>
          <cell r="H1336">
            <v>19.5</v>
          </cell>
          <cell r="I1336">
            <v>170</v>
          </cell>
          <cell r="J1336">
            <v>3315</v>
          </cell>
          <cell r="K1336" t="str">
            <v>6103.43.1520</v>
          </cell>
          <cell r="L1336" t="str">
            <v>6103.43.00.00.00</v>
          </cell>
        </row>
        <row r="1337">
          <cell r="B1337" t="str">
            <v>M5226R</v>
          </cell>
          <cell r="C1337" t="str">
            <v>Men's Bottoms/Pants</v>
          </cell>
          <cell r="D1337" t="str">
            <v>Anthracite</v>
          </cell>
          <cell r="E1337" t="str">
            <v>87%POLYESTER 13%ELASTANE&gt;E...</v>
          </cell>
          <cell r="F1337" t="str">
            <v>VN</v>
          </cell>
          <cell r="G1337" t="str">
            <v>Conquer Max Performance Jogger</v>
          </cell>
          <cell r="H1337">
            <v>19.5</v>
          </cell>
          <cell r="I1337">
            <v>156</v>
          </cell>
          <cell r="J1337">
            <v>3042</v>
          </cell>
          <cell r="K1337" t="str">
            <v>6103.43.1520</v>
          </cell>
          <cell r="L1337" t="str">
            <v>6103.43.00.00.00</v>
          </cell>
        </row>
        <row r="1338">
          <cell r="B1338" t="str">
            <v>M6151R</v>
          </cell>
          <cell r="C1338" t="str">
            <v>Men's Shorts</v>
          </cell>
          <cell r="D1338" t="str">
            <v>Black</v>
          </cell>
          <cell r="E1338" t="str">
            <v>BODY: 88%POLYESTER 12%ELAST...</v>
          </cell>
          <cell r="F1338" t="str">
            <v>VN</v>
          </cell>
          <cell r="G1338" t="str">
            <v>7'' Key Mesh Basketball Short</v>
          </cell>
          <cell r="H1338">
            <v>13.05</v>
          </cell>
          <cell r="I1338">
            <v>29</v>
          </cell>
          <cell r="J1338">
            <v>378.45</v>
          </cell>
          <cell r="K1338" t="str">
            <v>6103.43.1550</v>
          </cell>
          <cell r="L1338" t="str">
            <v>6103.43.00.00.00</v>
          </cell>
        </row>
        <row r="1339">
          <cell r="B1339" t="str">
            <v>M2073R</v>
          </cell>
          <cell r="C1339" t="str">
            <v>Men's Tanks</v>
          </cell>
          <cell r="D1339" t="str">
            <v>Black</v>
          </cell>
          <cell r="E1339" t="str">
            <v>55%COTTON, 37%MODAL, 8%ELAS...</v>
          </cell>
          <cell r="F1339" t="str">
            <v>KH</v>
          </cell>
          <cell r="G1339" t="str">
            <v>Alo Vapor Muscle Tank</v>
          </cell>
          <cell r="H1339">
            <v>7.81</v>
          </cell>
          <cell r="I1339">
            <v>59</v>
          </cell>
          <cell r="J1339">
            <v>460.79</v>
          </cell>
          <cell r="K1339" t="str">
            <v>6109.10.0027</v>
          </cell>
          <cell r="L1339" t="str">
            <v>6109.10.00.00.00</v>
          </cell>
        </row>
        <row r="1340">
          <cell r="B1340" t="str">
            <v>W6468R</v>
          </cell>
          <cell r="C1340" t="str">
            <v>Women's Skirts</v>
          </cell>
          <cell r="D1340" t="str">
            <v>Black/Titanium</v>
          </cell>
          <cell r="E1340" t="str">
            <v>SHELL:  86%POLYESTER 14%ELAS...</v>
          </cell>
          <cell r="F1340" t="str">
            <v>VN</v>
          </cell>
          <cell r="G1340" t="str">
            <v>Pinstripe Daylight Mini Skirt</v>
          </cell>
          <cell r="H1340">
            <v>15.06</v>
          </cell>
          <cell r="I1340">
            <v>36</v>
          </cell>
          <cell r="J1340">
            <v>542.16</v>
          </cell>
          <cell r="K1340" t="str">
            <v>6204.53.3010</v>
          </cell>
          <cell r="L1340" t="str">
            <v>6204.53.00.00.00</v>
          </cell>
        </row>
        <row r="1341">
          <cell r="B1341" t="str">
            <v>W6485R</v>
          </cell>
          <cell r="C1341" t="str">
            <v>Women's Skirts</v>
          </cell>
          <cell r="D1341" t="str">
            <v>Black</v>
          </cell>
          <cell r="E1341" t="str">
            <v>BODY: 88%NYLON 12%ELASTANE&gt;...</v>
          </cell>
          <cell r="F1341" t="str">
            <v>VN</v>
          </cell>
          <cell r="G1341" t="str">
            <v>Flip It Mini Skort</v>
          </cell>
          <cell r="H1341">
            <v>13.38</v>
          </cell>
          <cell r="I1341">
            <v>36</v>
          </cell>
          <cell r="J1341">
            <v>481.68</v>
          </cell>
          <cell r="K1341" t="str">
            <v>6204.53.3010</v>
          </cell>
          <cell r="L1341" t="str">
            <v>6204.53.00.00.00</v>
          </cell>
        </row>
        <row r="1342">
          <cell r="B1342" t="str">
            <v>W51346R</v>
          </cell>
          <cell r="C1342" t="str">
            <v>Women's Trousers</v>
          </cell>
          <cell r="D1342" t="str">
            <v>Black</v>
          </cell>
          <cell r="E1342" t="str">
            <v>86%POLYESTER 14%ELASTANE</v>
          </cell>
          <cell r="F1342" t="str">
            <v>VN</v>
          </cell>
          <cell r="G1342" t="str">
            <v>Hw Pursuit Trouser (Lglt)</v>
          </cell>
          <cell r="H1342">
            <v>16.37</v>
          </cell>
          <cell r="I1342">
            <v>151</v>
          </cell>
          <cell r="J1342">
            <v>2471.87</v>
          </cell>
          <cell r="K1342" t="str">
            <v>6204.63.1110</v>
          </cell>
          <cell r="L1342" t="str">
            <v>6204.63.18.00.00</v>
          </cell>
        </row>
        <row r="1343">
          <cell r="B1343" t="str">
            <v>A0778U</v>
          </cell>
          <cell r="C1343" t="str">
            <v>Accessory - Hair Management</v>
          </cell>
          <cell r="D1343" t="str">
            <v>Black</v>
          </cell>
          <cell r="E1343" t="str">
            <v>100% ACETATE</v>
          </cell>
          <cell r="F1343" t="str">
            <v>CN</v>
          </cell>
          <cell r="G1343" t="str">
            <v>Effortless Claw Clip (2-Pack)</v>
          </cell>
          <cell r="H1343">
            <v>7.61</v>
          </cell>
          <cell r="I1343">
            <v>95</v>
          </cell>
          <cell r="J1343">
            <v>722.95</v>
          </cell>
          <cell r="K1343" t="str">
            <v>9615.11.4000</v>
          </cell>
          <cell r="L1343" t="str">
            <v>9615.11.00.00.00</v>
          </cell>
        </row>
        <row r="1344">
          <cell r="B1344" t="str">
            <v>A0778U</v>
          </cell>
          <cell r="C1344" t="str">
            <v>Accessory - Hair Management</v>
          </cell>
          <cell r="D1344" t="str">
            <v>Brown Tortoise</v>
          </cell>
          <cell r="E1344" t="str">
            <v>100% ACETATE</v>
          </cell>
          <cell r="F1344" t="str">
            <v>CN</v>
          </cell>
          <cell r="G1344" t="str">
            <v>Effortless Claw Clip (2-Pack)</v>
          </cell>
          <cell r="H1344">
            <v>7.61</v>
          </cell>
          <cell r="I1344">
            <v>75</v>
          </cell>
          <cell r="J1344">
            <v>570.75</v>
          </cell>
          <cell r="K1344" t="str">
            <v>9615.11.4000</v>
          </cell>
          <cell r="L1344" t="str">
            <v>9615.11.00.00.00</v>
          </cell>
        </row>
        <row r="1345">
          <cell r="B1345" t="str">
            <v>A0778U</v>
          </cell>
          <cell r="C1345" t="str">
            <v>Accessory - Hair Management</v>
          </cell>
          <cell r="D1345" t="str">
            <v>White Pearl</v>
          </cell>
          <cell r="E1345" t="str">
            <v>100% ACETATE</v>
          </cell>
          <cell r="F1345" t="str">
            <v>CN</v>
          </cell>
          <cell r="G1345" t="str">
            <v>Effortless Claw Clip (2-Pack)</v>
          </cell>
          <cell r="H1345">
            <v>7.61</v>
          </cell>
          <cell r="I1345">
            <v>90</v>
          </cell>
          <cell r="J1345">
            <v>684.9</v>
          </cell>
          <cell r="K1345" t="str">
            <v>9615.11.4000</v>
          </cell>
          <cell r="L1345" t="str">
            <v>9615.11.00.00.00</v>
          </cell>
        </row>
        <row r="1346">
          <cell r="B1346" t="str">
            <v>M1228R</v>
          </cell>
          <cell r="C1346" t="str">
            <v>Men's Short Sleeve Tops</v>
          </cell>
          <cell r="D1346" t="str">
            <v>White</v>
          </cell>
          <cell r="E1346" t="str">
            <v>55%COTTON 37%MODAL 8%ELAST...</v>
          </cell>
          <cell r="F1346" t="str">
            <v>KH</v>
          </cell>
          <cell r="G1346" t="str">
            <v>Alo Vapor Crewneck SS</v>
          </cell>
          <cell r="H1346">
            <v>11.48</v>
          </cell>
          <cell r="I1346">
            <v>80</v>
          </cell>
          <cell r="J1346">
            <v>918.4</v>
          </cell>
          <cell r="K1346" t="str">
            <v>6109.10.0027</v>
          </cell>
          <cell r="L1346" t="str">
            <v>6109.10.00.00.00</v>
          </cell>
        </row>
        <row r="1347">
          <cell r="B1347" t="str">
            <v>M1228R</v>
          </cell>
          <cell r="C1347" t="str">
            <v>Men's Short Sleeve Tops</v>
          </cell>
          <cell r="D1347" t="str">
            <v>Black</v>
          </cell>
          <cell r="E1347" t="str">
            <v>55%COTTON, 37%MODAL, 8%ELAS...</v>
          </cell>
          <cell r="F1347" t="str">
            <v>KH</v>
          </cell>
          <cell r="G1347" t="str">
            <v>Alo Vapor Crewneck SS</v>
          </cell>
          <cell r="H1347">
            <v>8.9499999999999993</v>
          </cell>
          <cell r="I1347">
            <v>80</v>
          </cell>
          <cell r="J1347">
            <v>716</v>
          </cell>
          <cell r="K1347" t="str">
            <v>6109.10.0027</v>
          </cell>
          <cell r="L1347" t="str">
            <v>6109.10.00.00.00</v>
          </cell>
        </row>
        <row r="1348">
          <cell r="B1348" t="str">
            <v>M3266R</v>
          </cell>
          <cell r="C1348" t="str">
            <v>Men's Long Sleeve Tops</v>
          </cell>
          <cell r="D1348" t="str">
            <v>Black</v>
          </cell>
          <cell r="E1348" t="str">
            <v>55%COTTON, 37%MODAL, 8%ELAS...</v>
          </cell>
          <cell r="F1348" t="str">
            <v>KH</v>
          </cell>
          <cell r="G1348" t="str">
            <v>Alo Vapor Crewneck Long Sleeve</v>
          </cell>
          <cell r="H1348">
            <v>10.64</v>
          </cell>
          <cell r="I1348">
            <v>66</v>
          </cell>
          <cell r="J1348">
            <v>702.24</v>
          </cell>
          <cell r="K1348" t="str">
            <v>6109.10.0027</v>
          </cell>
          <cell r="L1348" t="str">
            <v>6109.10.00.00.00</v>
          </cell>
        </row>
        <row r="1349">
          <cell r="B1349" t="str">
            <v>M3266R</v>
          </cell>
          <cell r="C1349" t="str">
            <v>Men's Long Sleeve Tops</v>
          </cell>
          <cell r="D1349" t="str">
            <v>Navy</v>
          </cell>
          <cell r="E1349" t="str">
            <v>55%COTTON, 37%MODAL, 8%ELAS...</v>
          </cell>
          <cell r="F1349" t="str">
            <v>KH</v>
          </cell>
          <cell r="G1349" t="str">
            <v>Alo Vapor Crewneck Long Sleeve</v>
          </cell>
          <cell r="H1349">
            <v>10.64</v>
          </cell>
          <cell r="I1349">
            <v>50</v>
          </cell>
          <cell r="J1349">
            <v>532</v>
          </cell>
          <cell r="K1349" t="str">
            <v>6109.10.0027</v>
          </cell>
          <cell r="L1349" t="str">
            <v>6109.10.00.00.00</v>
          </cell>
        </row>
        <row r="1350">
          <cell r="B1350" t="str">
            <v>M3266R</v>
          </cell>
          <cell r="C1350" t="str">
            <v>Men's Long Sleeve Tops</v>
          </cell>
          <cell r="D1350" t="str">
            <v>Seashell Blue</v>
          </cell>
          <cell r="E1350" t="str">
            <v>55%COTTON, 37%MODAL, 8%ELAS...</v>
          </cell>
          <cell r="F1350" t="str">
            <v>KH</v>
          </cell>
          <cell r="G1350" t="str">
            <v>Alo Vapor Crewneck Long Sleeve</v>
          </cell>
          <cell r="H1350">
            <v>10.64</v>
          </cell>
          <cell r="I1350">
            <v>46</v>
          </cell>
          <cell r="J1350">
            <v>489.44</v>
          </cell>
          <cell r="K1350" t="str">
            <v>6109.10.0027</v>
          </cell>
          <cell r="L1350" t="str">
            <v>6109.10.00.00.00</v>
          </cell>
        </row>
        <row r="1351">
          <cell r="B1351" t="str">
            <v>W3945R</v>
          </cell>
          <cell r="C1351" t="str">
            <v>Women's Cover Ups</v>
          </cell>
          <cell r="D1351" t="str">
            <v>Black</v>
          </cell>
          <cell r="E1351" t="str">
            <v>BODY: 100%CASHMERE&gt;CUFFS: 89...</v>
          </cell>
          <cell r="F1351" t="str">
            <v>KH</v>
          </cell>
          <cell r="G1351" t="str">
            <v>Sheer Cashmere Long Cardigan</v>
          </cell>
          <cell r="H1351">
            <v>69.52</v>
          </cell>
          <cell r="I1351">
            <v>90</v>
          </cell>
          <cell r="J1351">
            <v>6256.8</v>
          </cell>
          <cell r="K1351" t="str">
            <v>6110.12.1020</v>
          </cell>
          <cell r="L1351" t="str">
            <v>6110.12.90.00.00</v>
          </cell>
        </row>
        <row r="1352">
          <cell r="B1352" t="str">
            <v>W3945R</v>
          </cell>
          <cell r="C1352" t="str">
            <v>Women's Cover Ups</v>
          </cell>
          <cell r="D1352" t="str">
            <v>Ivory</v>
          </cell>
          <cell r="E1352" t="str">
            <v>BODY: 100%CASHMERE&gt;CUFFS: 89...</v>
          </cell>
          <cell r="F1352" t="str">
            <v>KH</v>
          </cell>
          <cell r="G1352" t="str">
            <v>Sheer Cashmere Long Cardigan</v>
          </cell>
          <cell r="H1352">
            <v>69.52</v>
          </cell>
          <cell r="I1352">
            <v>56</v>
          </cell>
          <cell r="J1352">
            <v>3893.12</v>
          </cell>
          <cell r="K1352" t="str">
            <v>6110.12.1020</v>
          </cell>
          <cell r="L1352" t="str">
            <v>6110.12.90.00.00</v>
          </cell>
        </row>
        <row r="1353">
          <cell r="B1353" t="str">
            <v>M3262R</v>
          </cell>
          <cell r="C1353" t="str">
            <v>Men's Outerwear</v>
          </cell>
          <cell r="D1353" t="str">
            <v>Black</v>
          </cell>
          <cell r="E1353" t="str">
            <v>BODY: 87%POLYESTER 13%ELAST...</v>
          </cell>
          <cell r="F1353" t="str">
            <v>ID</v>
          </cell>
          <cell r="G1353" t="str">
            <v>Conquer Max Mock Neck Full Zip</v>
          </cell>
          <cell r="H1353">
            <v>18.489999999999998</v>
          </cell>
          <cell r="I1353">
            <v>66</v>
          </cell>
          <cell r="J1353">
            <v>1220.3399999999999</v>
          </cell>
          <cell r="K1353" t="str">
            <v>6110.30.3053</v>
          </cell>
          <cell r="L1353" t="str">
            <v>6110.30.91.00.00</v>
          </cell>
        </row>
        <row r="1354">
          <cell r="B1354" t="str">
            <v>M3262R</v>
          </cell>
          <cell r="C1354" t="str">
            <v>Men's Outerwear</v>
          </cell>
          <cell r="D1354" t="str">
            <v>Navy</v>
          </cell>
          <cell r="E1354" t="str">
            <v>BODY: 87%POLYESTER 13%ELAST...</v>
          </cell>
          <cell r="F1354" t="str">
            <v>ID</v>
          </cell>
          <cell r="G1354" t="str">
            <v>Conquer Max Mock Neck Full Zip</v>
          </cell>
          <cell r="H1354">
            <v>18.489999999999998</v>
          </cell>
          <cell r="I1354">
            <v>54</v>
          </cell>
          <cell r="J1354">
            <v>998.46</v>
          </cell>
          <cell r="K1354" t="str">
            <v>6110.30.3053</v>
          </cell>
          <cell r="L1354" t="str">
            <v>6110.30.91.00.00</v>
          </cell>
        </row>
        <row r="1355">
          <cell r="B1355" t="str">
            <v>W4622R</v>
          </cell>
          <cell r="C1355" t="str">
            <v>Women's Outerwear</v>
          </cell>
          <cell r="D1355" t="str">
            <v>White/Black</v>
          </cell>
          <cell r="E1355" t="str">
            <v>BODY: 100%NYLON&gt;LINING: 100%...</v>
          </cell>
          <cell r="F1355" t="str">
            <v>ID</v>
          </cell>
          <cell r="G1355" t="str">
            <v>Motivate Full-Zip Track Jacket</v>
          </cell>
          <cell r="H1355">
            <v>24.91</v>
          </cell>
          <cell r="I1355">
            <v>34</v>
          </cell>
          <cell r="J1355">
            <v>846.94</v>
          </cell>
          <cell r="K1355" t="str">
            <v>6202.40.7000</v>
          </cell>
          <cell r="L1355" t="str">
            <v>6202.40.10.00.11</v>
          </cell>
        </row>
        <row r="1356">
          <cell r="B1356" t="str">
            <v>W4622R</v>
          </cell>
          <cell r="C1356" t="str">
            <v>Women's Outerwear</v>
          </cell>
          <cell r="D1356" t="str">
            <v>Black/White</v>
          </cell>
          <cell r="E1356" t="str">
            <v>BODY: 100%NYLON&gt;LINING: 100%...</v>
          </cell>
          <cell r="F1356" t="str">
            <v>ID</v>
          </cell>
          <cell r="G1356" t="str">
            <v>Motivate Full-Zip Track Jacket</v>
          </cell>
          <cell r="H1356">
            <v>24.91</v>
          </cell>
          <cell r="I1356">
            <v>41</v>
          </cell>
          <cell r="J1356">
            <v>1021.31</v>
          </cell>
          <cell r="K1356" t="str">
            <v>6202.40.7000</v>
          </cell>
          <cell r="L1356" t="str">
            <v>6202.40.10.00.11</v>
          </cell>
        </row>
        <row r="1357">
          <cell r="B1357" t="str">
            <v>W6438R</v>
          </cell>
          <cell r="C1357" t="str">
            <v>Women's Shorts</v>
          </cell>
          <cell r="D1357" t="str">
            <v>Black/White</v>
          </cell>
          <cell r="E1357" t="str">
            <v>BODY: 100%NYLON&gt;POCKET: 100...</v>
          </cell>
          <cell r="F1357" t="str">
            <v>VN</v>
          </cell>
          <cell r="G1357" t="str">
            <v>Motivate Track Short</v>
          </cell>
          <cell r="H1357">
            <v>13.27</v>
          </cell>
          <cell r="I1357">
            <v>20</v>
          </cell>
          <cell r="J1357">
            <v>265.39999999999998</v>
          </cell>
          <cell r="K1357" t="str">
            <v>6204.63.9032</v>
          </cell>
          <cell r="L1357" t="str">
            <v>6204.63.18.00.00</v>
          </cell>
        </row>
        <row r="1358">
          <cell r="B1358" t="str">
            <v>W6517R</v>
          </cell>
          <cell r="C1358" t="str">
            <v>Women's Shorts</v>
          </cell>
          <cell r="D1358" t="str">
            <v>White/Black</v>
          </cell>
          <cell r="E1358" t="str">
            <v>OUTER BODY: 100%NYLON&gt;INNER ...</v>
          </cell>
          <cell r="F1358" t="str">
            <v>VN</v>
          </cell>
          <cell r="G1358" t="str">
            <v>Motivate Track Short</v>
          </cell>
          <cell r="H1358">
            <v>14.97</v>
          </cell>
          <cell r="I1358">
            <v>16</v>
          </cell>
          <cell r="J1358">
            <v>239.52</v>
          </cell>
          <cell r="K1358" t="str">
            <v>6204.63.9032</v>
          </cell>
          <cell r="L1358" t="str">
            <v>6204.63.18.00.00</v>
          </cell>
        </row>
        <row r="1359">
          <cell r="B1359" t="str">
            <v>W51263R</v>
          </cell>
          <cell r="C1359" t="str">
            <v>Women's Trousers</v>
          </cell>
          <cell r="D1359" t="str">
            <v>Black</v>
          </cell>
          <cell r="E1359" t="str">
            <v>BODY: 89%RECYCLED POLYESTER...</v>
          </cell>
          <cell r="F1359" t="str">
            <v>VN</v>
          </cell>
          <cell r="G1359" t="str">
            <v>High-Waist Dreamscape Tsr (Lg)</v>
          </cell>
          <cell r="H1359">
            <v>18.07</v>
          </cell>
          <cell r="I1359">
            <v>59</v>
          </cell>
          <cell r="J1359">
            <v>1066.1300000000001</v>
          </cell>
          <cell r="K1359" t="str">
            <v>6204.69.2510</v>
          </cell>
          <cell r="L1359" t="str">
            <v>6204.69.18.00.00</v>
          </cell>
        </row>
        <row r="1360">
          <cell r="B1360" t="str">
            <v>A0801U</v>
          </cell>
          <cell r="C1360" t="str">
            <v>Accessory - Hats</v>
          </cell>
          <cell r="D1360" t="str">
            <v>Black/White</v>
          </cell>
          <cell r="E1360" t="str">
            <v>100%COTTON&gt;EXCLUSIVE OF TRIMMING</v>
          </cell>
          <cell r="F1360" t="str">
            <v>CN</v>
          </cell>
          <cell r="G1360" t="str">
            <v>Colorblock Visor</v>
          </cell>
          <cell r="H1360">
            <v>4.0599999999999996</v>
          </cell>
          <cell r="I1360">
            <v>130</v>
          </cell>
          <cell r="J1360">
            <v>527.79999999999995</v>
          </cell>
          <cell r="K1360" t="str">
            <v>6505.00.1525</v>
          </cell>
          <cell r="L1360" t="str">
            <v>6505.00.30.00.00</v>
          </cell>
        </row>
        <row r="1361">
          <cell r="B1361" t="str">
            <v>A0801U</v>
          </cell>
          <cell r="C1361" t="str">
            <v>Accessory - Hats</v>
          </cell>
          <cell r="D1361" t="str">
            <v>Macadamia/White</v>
          </cell>
          <cell r="E1361" t="str">
            <v>100%COTTON&gt;EXCLUSIVE OF TRIMMING</v>
          </cell>
          <cell r="F1361" t="str">
            <v>CN</v>
          </cell>
          <cell r="G1361" t="str">
            <v>Colorblock Visor</v>
          </cell>
          <cell r="H1361">
            <v>4.0599999999999996</v>
          </cell>
          <cell r="I1361">
            <v>115</v>
          </cell>
          <cell r="J1361">
            <v>466.9</v>
          </cell>
          <cell r="K1361" t="str">
            <v>6505.00.1525</v>
          </cell>
          <cell r="L1361" t="str">
            <v>6505.00.30.00.00</v>
          </cell>
        </row>
        <row r="1362">
          <cell r="B1362" t="str">
            <v>M2078R</v>
          </cell>
          <cell r="C1362" t="str">
            <v>Men's Tanks</v>
          </cell>
          <cell r="D1362" t="str">
            <v>Black</v>
          </cell>
          <cell r="E1362" t="str">
            <v>94%POLYESTER 6%ELASTANE</v>
          </cell>
          <cell r="F1362" t="str">
            <v>ID</v>
          </cell>
          <cell r="G1362" t="str">
            <v>Conquer Tank</v>
          </cell>
          <cell r="H1362">
            <v>8.18</v>
          </cell>
          <cell r="I1362">
            <v>32</v>
          </cell>
          <cell r="J1362">
            <v>261.76</v>
          </cell>
          <cell r="K1362" t="str">
            <v>6109.10. 0027</v>
          </cell>
          <cell r="L1362" t="str">
            <v>6109.90.20.00.12</v>
          </cell>
        </row>
        <row r="1363">
          <cell r="B1363" t="str">
            <v>M2078R</v>
          </cell>
          <cell r="C1363" t="str">
            <v>Men's Tanks</v>
          </cell>
          <cell r="D1363" t="str">
            <v>Espresso</v>
          </cell>
          <cell r="E1363" t="str">
            <v>94%POLYESTER 6%ELASTANE</v>
          </cell>
          <cell r="F1363" t="str">
            <v>ID</v>
          </cell>
          <cell r="G1363" t="str">
            <v>Conquer Tank</v>
          </cell>
          <cell r="H1363">
            <v>8.18</v>
          </cell>
          <cell r="I1363">
            <v>31</v>
          </cell>
          <cell r="J1363">
            <v>253.58</v>
          </cell>
          <cell r="K1363" t="str">
            <v>6109.10. 0027</v>
          </cell>
          <cell r="L1363" t="str">
            <v>6109.90.20.00.12</v>
          </cell>
        </row>
        <row r="1364">
          <cell r="B1364" t="str">
            <v>M6117R</v>
          </cell>
          <cell r="C1364" t="str">
            <v>Men's Shorts</v>
          </cell>
          <cell r="D1364" t="str">
            <v>Black</v>
          </cell>
          <cell r="E1364" t="str">
            <v>SHELL: 100%COTTON&gt; LINING: 65...</v>
          </cell>
          <cell r="F1364" t="str">
            <v>KH</v>
          </cell>
          <cell r="G1364" t="str">
            <v>Open-Knit Short</v>
          </cell>
          <cell r="H1364">
            <v>20.3</v>
          </cell>
          <cell r="I1364">
            <v>41</v>
          </cell>
          <cell r="J1364">
            <v>832.3</v>
          </cell>
          <cell r="K1364" t="str">
            <v>6103.42.1050</v>
          </cell>
          <cell r="L1364" t="str">
            <v>6103.42.00.00.00</v>
          </cell>
        </row>
        <row r="1365">
          <cell r="B1365" t="str">
            <v>M6117R</v>
          </cell>
          <cell r="C1365" t="str">
            <v>Men's Shorts</v>
          </cell>
          <cell r="D1365" t="str">
            <v>Espresso</v>
          </cell>
          <cell r="E1365" t="str">
            <v>SHELL: 100%COTTON&gt; LINING: 65...</v>
          </cell>
          <cell r="F1365" t="str">
            <v>KH</v>
          </cell>
          <cell r="G1365" t="str">
            <v>Open-Knit Short</v>
          </cell>
          <cell r="H1365">
            <v>20.3</v>
          </cell>
          <cell r="I1365">
            <v>30</v>
          </cell>
          <cell r="J1365">
            <v>609</v>
          </cell>
          <cell r="K1365" t="str">
            <v>6103.42.1050</v>
          </cell>
          <cell r="L1365" t="str">
            <v>6103.42.00.00.00</v>
          </cell>
        </row>
        <row r="1366">
          <cell r="B1366" t="str">
            <v>W8315R</v>
          </cell>
          <cell r="C1366" t="str">
            <v>Women's Dresses</v>
          </cell>
          <cell r="D1366" t="str">
            <v>Black</v>
          </cell>
          <cell r="E1366" t="str">
            <v>93% MODAL, 7% ELASTANE</v>
          </cell>
          <cell r="F1366" t="str">
            <v>SG</v>
          </cell>
          <cell r="G1366" t="str">
            <v>Supernatural Sweater Dress</v>
          </cell>
          <cell r="H1366">
            <v>23.01</v>
          </cell>
          <cell r="I1366">
            <v>40</v>
          </cell>
          <cell r="J1366">
            <v>920.4</v>
          </cell>
          <cell r="K1366" t="str">
            <v>6104.42.0010</v>
          </cell>
          <cell r="L1366" t="str">
            <v>6104.42.00.00.00</v>
          </cell>
        </row>
        <row r="1367">
          <cell r="B1367" t="str">
            <v>W8315R</v>
          </cell>
          <cell r="C1367" t="str">
            <v>Women's Dresses</v>
          </cell>
          <cell r="D1367" t="str">
            <v>Macadamia</v>
          </cell>
          <cell r="E1367" t="str">
            <v>93% MODAL, 7% ELASTANE</v>
          </cell>
          <cell r="F1367" t="str">
            <v>SG</v>
          </cell>
          <cell r="G1367" t="str">
            <v>Supernatural Sweater Dress</v>
          </cell>
          <cell r="H1367">
            <v>23.01</v>
          </cell>
          <cell r="I1367">
            <v>35</v>
          </cell>
          <cell r="J1367">
            <v>805.35</v>
          </cell>
          <cell r="K1367" t="str">
            <v>6104.42.0010</v>
          </cell>
          <cell r="L1367" t="str">
            <v>6104.42.00.00.00</v>
          </cell>
        </row>
        <row r="1368">
          <cell r="B1368" t="str">
            <v>W54217R</v>
          </cell>
          <cell r="C1368" t="str">
            <v>Women's Other Bottoms</v>
          </cell>
          <cell r="D1368" t="str">
            <v>Black</v>
          </cell>
          <cell r="E1368" t="str">
            <v>89%COTTON 10%NYLON 1%ELAST...</v>
          </cell>
          <cell r="F1368" t="str">
            <v>SG</v>
          </cell>
          <cell r="G1368" t="str">
            <v>Supernatural Sweater Pant</v>
          </cell>
          <cell r="H1368">
            <v>23.84</v>
          </cell>
          <cell r="I1368">
            <v>35</v>
          </cell>
          <cell r="J1368">
            <v>834.4</v>
          </cell>
          <cell r="K1368" t="str">
            <v>6104.62.2011</v>
          </cell>
          <cell r="L1368" t="str">
            <v>6104.62.00.00.00</v>
          </cell>
        </row>
        <row r="1369">
          <cell r="B1369" t="str">
            <v>W54217R</v>
          </cell>
          <cell r="C1369" t="str">
            <v>Women's Other Bottoms</v>
          </cell>
          <cell r="D1369" t="str">
            <v>Macadamia</v>
          </cell>
          <cell r="E1369" t="str">
            <v>89%COTTON 10%NYLON 1%ELAST...</v>
          </cell>
          <cell r="F1369" t="str">
            <v>SG</v>
          </cell>
          <cell r="G1369" t="str">
            <v>Supernatural Sweater Pant</v>
          </cell>
          <cell r="H1369">
            <v>23.84</v>
          </cell>
          <cell r="I1369">
            <v>40</v>
          </cell>
          <cell r="J1369">
            <v>953.6</v>
          </cell>
          <cell r="K1369" t="str">
            <v>6104.62.2011</v>
          </cell>
          <cell r="L1369" t="str">
            <v>6104.62.00.00.00</v>
          </cell>
        </row>
        <row r="1370">
          <cell r="B1370" t="str">
            <v>M1229R</v>
          </cell>
          <cell r="C1370" t="str">
            <v>Men's Short Sleeve Tops</v>
          </cell>
          <cell r="D1370" t="str">
            <v>Black</v>
          </cell>
          <cell r="E1370" t="str">
            <v>100%COTTON&gt;EXCLUSIVE OF TRIMMING</v>
          </cell>
          <cell r="F1370" t="str">
            <v>KH</v>
          </cell>
          <cell r="G1370" t="str">
            <v>Open-Knit Polo</v>
          </cell>
          <cell r="H1370">
            <v>17.2</v>
          </cell>
          <cell r="I1370">
            <v>70</v>
          </cell>
          <cell r="J1370">
            <v>1204</v>
          </cell>
          <cell r="K1370" t="str">
            <v>6109.10.0027</v>
          </cell>
          <cell r="L1370" t="str">
            <v>6109.10.00.00.00</v>
          </cell>
        </row>
        <row r="1371">
          <cell r="B1371" t="str">
            <v>M1229R</v>
          </cell>
          <cell r="C1371" t="str">
            <v>Men's Short Sleeve Tops</v>
          </cell>
          <cell r="D1371" t="str">
            <v>Espresso</v>
          </cell>
          <cell r="E1371" t="str">
            <v>100%COTTON&gt;EXCLUSIVE OF TRIMMING</v>
          </cell>
          <cell r="F1371" t="str">
            <v>KH</v>
          </cell>
          <cell r="G1371" t="str">
            <v>Open-Knit Polo</v>
          </cell>
          <cell r="H1371">
            <v>17.2</v>
          </cell>
          <cell r="I1371">
            <v>45</v>
          </cell>
          <cell r="J1371">
            <v>774</v>
          </cell>
          <cell r="K1371" t="str">
            <v>6109.10.0027</v>
          </cell>
          <cell r="L1371" t="str">
            <v>6109.10.00.00.00</v>
          </cell>
        </row>
        <row r="1372">
          <cell r="B1372" t="str">
            <v>W2788R</v>
          </cell>
          <cell r="C1372" t="str">
            <v>Women's Tanks</v>
          </cell>
          <cell r="D1372" t="str">
            <v>Black</v>
          </cell>
          <cell r="E1372" t="str">
            <v>94%POLYESTER 6%ELASTANE</v>
          </cell>
          <cell r="F1372" t="str">
            <v>SG</v>
          </cell>
          <cell r="G1372" t="str">
            <v>Supernatural Sweater Henley Tk</v>
          </cell>
          <cell r="H1372">
            <v>13.92</v>
          </cell>
          <cell r="I1372">
            <v>30</v>
          </cell>
          <cell r="J1372">
            <v>417.6</v>
          </cell>
          <cell r="K1372" t="str">
            <v>6114.20.0010</v>
          </cell>
          <cell r="L1372" t="str">
            <v>6114.90.00.00.00</v>
          </cell>
        </row>
        <row r="1373">
          <cell r="B1373" t="str">
            <v>W2788R</v>
          </cell>
          <cell r="C1373" t="str">
            <v>Women's Tanks</v>
          </cell>
          <cell r="D1373" t="str">
            <v>Macadamia</v>
          </cell>
          <cell r="E1373" t="str">
            <v>94%POLYESTER 6%ELASTANE</v>
          </cell>
          <cell r="F1373" t="str">
            <v>SG</v>
          </cell>
          <cell r="G1373" t="str">
            <v>Supernatural Sweater Henley Tk</v>
          </cell>
          <cell r="H1373">
            <v>13.92</v>
          </cell>
          <cell r="I1373">
            <v>47</v>
          </cell>
          <cell r="J1373">
            <v>654.24</v>
          </cell>
          <cell r="K1373" t="str">
            <v>6114.20.0010</v>
          </cell>
          <cell r="L1373" t="str">
            <v>6114.90.00.00.00</v>
          </cell>
        </row>
        <row r="1374">
          <cell r="B1374" t="str">
            <v>W4662R</v>
          </cell>
          <cell r="C1374" t="str">
            <v>Women's Outerwear</v>
          </cell>
          <cell r="D1374" t="str">
            <v>Black</v>
          </cell>
          <cell r="E1374" t="str">
            <v>BODY: 90%POLYESTER 10%ELAST...</v>
          </cell>
          <cell r="F1374" t="str">
            <v>KH</v>
          </cell>
          <cell r="G1374" t="str">
            <v>Sport Star Full Zip Jacket</v>
          </cell>
          <cell r="H1374">
            <v>25.72</v>
          </cell>
          <cell r="I1374">
            <v>31</v>
          </cell>
          <cell r="J1374">
            <v>797.32</v>
          </cell>
          <cell r="K1374" t="str">
            <v>6202.40.7511</v>
          </cell>
          <cell r="L1374" t="str">
            <v>6202.40.10.00.11</v>
          </cell>
        </row>
        <row r="1375">
          <cell r="B1375" t="str">
            <v>W4721R</v>
          </cell>
          <cell r="C1375" t="str">
            <v>Women's Outerwear</v>
          </cell>
          <cell r="D1375" t="str">
            <v>White</v>
          </cell>
          <cell r="E1375" t="str">
            <v>BODY: 83%NYLON 17%ELASTANE&gt;...</v>
          </cell>
          <cell r="F1375" t="str">
            <v>ID</v>
          </cell>
          <cell r="G1375" t="str">
            <v>Crpd Breezy Full-Zip Cover Up</v>
          </cell>
          <cell r="H1375">
            <v>16.41</v>
          </cell>
          <cell r="I1375">
            <v>36</v>
          </cell>
          <cell r="J1375">
            <v>590.76</v>
          </cell>
          <cell r="K1375" t="str">
            <v>6202.40.7511</v>
          </cell>
          <cell r="L1375" t="str">
            <v>6202.40.10.00.11</v>
          </cell>
        </row>
        <row r="1376">
          <cell r="B1376" t="str">
            <v>W4721R</v>
          </cell>
          <cell r="C1376" t="str">
            <v>Women's Outerwear</v>
          </cell>
          <cell r="D1376" t="str">
            <v>Black</v>
          </cell>
          <cell r="E1376" t="str">
            <v>BODY: 83%NYLON 17%ELASTANE&gt;...</v>
          </cell>
          <cell r="F1376" t="str">
            <v>ID</v>
          </cell>
          <cell r="G1376" t="str">
            <v>Crpd Breezy Full-Zip Cover Up</v>
          </cell>
          <cell r="H1376">
            <v>16.41</v>
          </cell>
          <cell r="I1376">
            <v>30</v>
          </cell>
          <cell r="J1376">
            <v>492.3</v>
          </cell>
          <cell r="K1376" t="str">
            <v>6202.40.7511</v>
          </cell>
          <cell r="L1376" t="str">
            <v>6202.40.10.00.11</v>
          </cell>
        </row>
        <row r="1377">
          <cell r="B1377" t="str">
            <v>W54163R</v>
          </cell>
          <cell r="C1377" t="str">
            <v>Women's Other Bottoms</v>
          </cell>
          <cell r="D1377" t="str">
            <v>White</v>
          </cell>
          <cell r="E1377" t="str">
            <v>83%NYLON 17%ELASTANE</v>
          </cell>
          <cell r="F1377" t="str">
            <v>ID</v>
          </cell>
          <cell r="G1377" t="str">
            <v>Effortless Wide Leg Pant</v>
          </cell>
          <cell r="H1377">
            <v>22.66</v>
          </cell>
          <cell r="I1377">
            <v>36</v>
          </cell>
          <cell r="J1377">
            <v>815.76</v>
          </cell>
          <cell r="K1377" t="str">
            <v>6204.63.9011</v>
          </cell>
          <cell r="L1377" t="str">
            <v>6204.63.18.00.00</v>
          </cell>
        </row>
        <row r="1378">
          <cell r="B1378" t="str">
            <v>W54163R</v>
          </cell>
          <cell r="C1378" t="str">
            <v>Women's Other Bottoms</v>
          </cell>
          <cell r="D1378" t="str">
            <v>Black</v>
          </cell>
          <cell r="E1378" t="str">
            <v>83%NYLON 17%ELASTANE&gt;EXCLU...</v>
          </cell>
          <cell r="F1378" t="str">
            <v>ID</v>
          </cell>
          <cell r="G1378" t="str">
            <v>Effortless Wide Leg Pant</v>
          </cell>
          <cell r="H1378">
            <v>21.98</v>
          </cell>
          <cell r="I1378">
            <v>71</v>
          </cell>
          <cell r="J1378">
            <v>1560.58</v>
          </cell>
          <cell r="K1378" t="str">
            <v>6204.63.9011</v>
          </cell>
          <cell r="L1378" t="str">
            <v>6204.63.18.00.00</v>
          </cell>
        </row>
        <row r="1379">
          <cell r="B1379" t="str">
            <v>W6489R</v>
          </cell>
          <cell r="C1379" t="str">
            <v>Women's Shorts</v>
          </cell>
          <cell r="D1379" t="str">
            <v>White</v>
          </cell>
          <cell r="E1379" t="str">
            <v>OUTER BODY: 90%POLYESTER 10...</v>
          </cell>
          <cell r="F1379" t="str">
            <v>KH</v>
          </cell>
          <cell r="G1379" t="str">
            <v>Sport Star Short</v>
          </cell>
          <cell r="H1379">
            <v>12.84</v>
          </cell>
          <cell r="I1379">
            <v>35</v>
          </cell>
          <cell r="J1379">
            <v>449.4</v>
          </cell>
          <cell r="K1379" t="str">
            <v>6204.63.9032</v>
          </cell>
          <cell r="L1379" t="str">
            <v>6204.63.18.00.00</v>
          </cell>
        </row>
        <row r="1380">
          <cell r="B1380" t="str">
            <v>W9835R</v>
          </cell>
          <cell r="C1380" t="str">
            <v>Women's Bras</v>
          </cell>
          <cell r="D1380" t="str">
            <v>White</v>
          </cell>
          <cell r="E1380" t="str">
            <v>BODY: 87%POLYESTER 13%ELAST...</v>
          </cell>
          <cell r="F1380" t="str">
            <v>TW</v>
          </cell>
          <cell r="G1380" t="str">
            <v>Alosoft Serve It Up Bra</v>
          </cell>
          <cell r="H1380">
            <v>11.97</v>
          </cell>
          <cell r="I1380">
            <v>16</v>
          </cell>
          <cell r="J1380">
            <v>191.52</v>
          </cell>
          <cell r="K1380" t="str">
            <v>6212.10.9020</v>
          </cell>
          <cell r="L1380" t="str">
            <v>6212.10.90.00.00</v>
          </cell>
        </row>
        <row r="1381">
          <cell r="B1381" t="str">
            <v>W9835R</v>
          </cell>
          <cell r="C1381" t="str">
            <v>Women's Bras</v>
          </cell>
          <cell r="D1381" t="str">
            <v>Black</v>
          </cell>
          <cell r="E1381" t="str">
            <v>BODY: 87%POLYESTER 13%ELAST...</v>
          </cell>
          <cell r="F1381" t="str">
            <v>TW</v>
          </cell>
          <cell r="G1381" t="str">
            <v>Alosoft Serve It Up Bra</v>
          </cell>
          <cell r="H1381">
            <v>11.97</v>
          </cell>
          <cell r="I1381">
            <v>26</v>
          </cell>
          <cell r="J1381">
            <v>311.22000000000003</v>
          </cell>
          <cell r="K1381" t="str">
            <v>6212.10.9020</v>
          </cell>
          <cell r="L1381" t="str">
            <v>6212.10.90.00.00</v>
          </cell>
        </row>
        <row r="1382">
          <cell r="B1382" t="str">
            <v>W9856R</v>
          </cell>
          <cell r="C1382" t="str">
            <v>Women's Tanks</v>
          </cell>
          <cell r="D1382" t="str">
            <v>Black</v>
          </cell>
          <cell r="E1382" t="str">
            <v>BODY: 77%POLYESTER 23%ELAST...</v>
          </cell>
          <cell r="F1382" t="str">
            <v>TW</v>
          </cell>
          <cell r="G1382" t="str">
            <v>Airlift Super Sleek Bra Tank</v>
          </cell>
          <cell r="H1382">
            <v>13.77</v>
          </cell>
          <cell r="I1382">
            <v>84</v>
          </cell>
          <cell r="J1382">
            <v>1156.68</v>
          </cell>
          <cell r="K1382" t="str">
            <v>6212.10.9020</v>
          </cell>
          <cell r="L1382" t="str">
            <v>6212.10.90.00.00</v>
          </cell>
        </row>
        <row r="1383">
          <cell r="B1383" t="str">
            <v>W9856R</v>
          </cell>
          <cell r="C1383" t="str">
            <v>Women's Tanks</v>
          </cell>
          <cell r="D1383" t="str">
            <v>Seashell Blue</v>
          </cell>
          <cell r="E1383" t="str">
            <v>BODY: 77%POLYESTER 23%ELAST...</v>
          </cell>
          <cell r="F1383" t="str">
            <v>TW</v>
          </cell>
          <cell r="G1383" t="str">
            <v>Airlift Super Sleek Bra Tank</v>
          </cell>
          <cell r="H1383">
            <v>13.67</v>
          </cell>
          <cell r="I1383">
            <v>76</v>
          </cell>
          <cell r="J1383">
            <v>1038.92</v>
          </cell>
          <cell r="K1383" t="str">
            <v>6212.10.9020</v>
          </cell>
          <cell r="L1383" t="str">
            <v>6212.10.90.00.00</v>
          </cell>
        </row>
        <row r="1384">
          <cell r="B1384" t="str">
            <v>M5172R</v>
          </cell>
          <cell r="C1384" t="str">
            <v>Men's Other Bottoms</v>
          </cell>
          <cell r="D1384" t="str">
            <v>Navy</v>
          </cell>
          <cell r="E1384" t="str">
            <v>BODY: 100%NYLON&gt;POCKET: 100...</v>
          </cell>
          <cell r="F1384" t="str">
            <v>KH</v>
          </cell>
          <cell r="G1384" t="str">
            <v>Takeaway Track Pant</v>
          </cell>
          <cell r="H1384">
            <v>25.69</v>
          </cell>
          <cell r="I1384">
            <v>53</v>
          </cell>
          <cell r="J1384">
            <v>1361.57</v>
          </cell>
          <cell r="K1384" t="str">
            <v>6203.43.9011</v>
          </cell>
          <cell r="L1384" t="str">
            <v>6203.43.19.00.00</v>
          </cell>
        </row>
        <row r="1385">
          <cell r="B1385" t="str">
            <v>W3925P</v>
          </cell>
          <cell r="C1385" t="str">
            <v>Women's Long Sleeve Tops</v>
          </cell>
          <cell r="D1385" t="str">
            <v>Black/Ivory</v>
          </cell>
          <cell r="E1385" t="str">
            <v>100%SILK&gt;EXCLUSIVE OF TRIMMING</v>
          </cell>
          <cell r="F1385" t="str">
            <v>CN</v>
          </cell>
          <cell r="G1385" t="str">
            <v>Courchevel Silk Button Down</v>
          </cell>
          <cell r="H1385">
            <v>68.41</v>
          </cell>
          <cell r="I1385">
            <v>21</v>
          </cell>
          <cell r="J1385">
            <v>1436.61</v>
          </cell>
          <cell r="K1385" t="str">
            <v>6208.99.3020</v>
          </cell>
          <cell r="L1385" t="str">
            <v>6208.99.00.00.00</v>
          </cell>
        </row>
        <row r="1386">
          <cell r="B1386" t="str">
            <v>W3925P</v>
          </cell>
          <cell r="C1386" t="str">
            <v>Women's Long Sleeve Tops</v>
          </cell>
          <cell r="D1386" t="str">
            <v>Ivory/Black</v>
          </cell>
          <cell r="E1386" t="str">
            <v>100%SILK&gt;EXCLUSIVE OF TRIMMING</v>
          </cell>
          <cell r="F1386" t="str">
            <v>CN</v>
          </cell>
          <cell r="G1386" t="str">
            <v>Courchevel Silk Button Down</v>
          </cell>
          <cell r="H1386">
            <v>68.41</v>
          </cell>
          <cell r="I1386">
            <v>24</v>
          </cell>
          <cell r="J1386">
            <v>1641.84</v>
          </cell>
          <cell r="K1386" t="str">
            <v>6208.99.3020</v>
          </cell>
          <cell r="L1386" t="str">
            <v>6208.99.00.00.00</v>
          </cell>
        </row>
        <row r="1387">
          <cell r="B1387" t="str">
            <v>W3925P</v>
          </cell>
          <cell r="C1387" t="str">
            <v>Women's Long Sleeve Tops</v>
          </cell>
          <cell r="D1387" t="str">
            <v>Champagne Pop/Black</v>
          </cell>
          <cell r="E1387" t="str">
            <v>100%SILK&gt;EXCLUSIVE OF TRIMMING</v>
          </cell>
          <cell r="F1387" t="str">
            <v>CN</v>
          </cell>
          <cell r="G1387" t="str">
            <v>Courchevel Silk Button Down</v>
          </cell>
          <cell r="H1387">
            <v>68.41</v>
          </cell>
          <cell r="I1387">
            <v>21</v>
          </cell>
          <cell r="J1387">
            <v>1436.61</v>
          </cell>
          <cell r="K1387" t="str">
            <v>6208.99.3020</v>
          </cell>
          <cell r="L1387" t="str">
            <v>6208.99.00.00.00</v>
          </cell>
        </row>
        <row r="1388">
          <cell r="B1388" t="str">
            <v>M6143R</v>
          </cell>
          <cell r="C1388" t="str">
            <v>Men's Shorts</v>
          </cell>
          <cell r="D1388" t="str">
            <v>Black</v>
          </cell>
          <cell r="E1388" t="str">
            <v>BODY: 47%MODAL 47%COTTON 6...</v>
          </cell>
          <cell r="F1388" t="str">
            <v>VN</v>
          </cell>
          <cell r="G1388" t="str">
            <v>7" Double Take Short</v>
          </cell>
          <cell r="H1388">
            <v>12.46</v>
          </cell>
          <cell r="I1388">
            <v>80</v>
          </cell>
          <cell r="J1388">
            <v>996.8</v>
          </cell>
          <cell r="K1388" t="str">
            <v>6103.43.1550</v>
          </cell>
          <cell r="L1388" t="str">
            <v>6103.43.00.00.00</v>
          </cell>
        </row>
        <row r="1389">
          <cell r="B1389" t="str">
            <v>M6143R</v>
          </cell>
          <cell r="C1389" t="str">
            <v>Men's Shorts</v>
          </cell>
          <cell r="D1389" t="str">
            <v>Espresso</v>
          </cell>
          <cell r="E1389" t="str">
            <v>BODY: 47%MODAL 47%COTTON 6...</v>
          </cell>
          <cell r="F1389" t="str">
            <v>VN</v>
          </cell>
          <cell r="G1389" t="str">
            <v>7" Double Take Short</v>
          </cell>
          <cell r="H1389">
            <v>12.46</v>
          </cell>
          <cell r="I1389">
            <v>84</v>
          </cell>
          <cell r="J1389">
            <v>1046.6400000000001</v>
          </cell>
          <cell r="K1389" t="str">
            <v>6103.43.1550</v>
          </cell>
          <cell r="L1389" t="str">
            <v>6103.43.00.00.00</v>
          </cell>
        </row>
        <row r="1390">
          <cell r="B1390" t="str">
            <v>W6461RG</v>
          </cell>
          <cell r="C1390" t="str">
            <v>Women's Skirts</v>
          </cell>
          <cell r="D1390" t="str">
            <v>Black</v>
          </cell>
          <cell r="E1390" t="str">
            <v>OUTER BODY: 65%COTTON 35%PO...</v>
          </cell>
          <cell r="F1390" t="str">
            <v>VN</v>
          </cell>
          <cell r="G1390" t="str">
            <v>Accolade Skirt</v>
          </cell>
          <cell r="H1390">
            <v>11.47</v>
          </cell>
          <cell r="I1390">
            <v>91</v>
          </cell>
          <cell r="J1390">
            <v>1043.77</v>
          </cell>
          <cell r="K1390" t="str">
            <v>6104.52.0010</v>
          </cell>
          <cell r="L1390" t="str">
            <v>6104.52.00.00.00</v>
          </cell>
        </row>
        <row r="1391">
          <cell r="B1391" t="str">
            <v>W6461RG</v>
          </cell>
          <cell r="C1391" t="str">
            <v>Women's Skirts</v>
          </cell>
          <cell r="D1391" t="str">
            <v>Athletic Heather Grey</v>
          </cell>
          <cell r="E1391" t="str">
            <v>OUTER BODY: 65%COTTON 35%PO...</v>
          </cell>
          <cell r="F1391" t="str">
            <v>VN</v>
          </cell>
          <cell r="G1391" t="str">
            <v>Accolade Skirt</v>
          </cell>
          <cell r="H1391">
            <v>12.18</v>
          </cell>
          <cell r="I1391">
            <v>71</v>
          </cell>
          <cell r="J1391">
            <v>864.78</v>
          </cell>
          <cell r="K1391" t="str">
            <v>6104.52.0010</v>
          </cell>
          <cell r="L1391" t="str">
            <v>6104.52.00.00.00</v>
          </cell>
        </row>
        <row r="1392">
          <cell r="B1392" t="str">
            <v>W6355R</v>
          </cell>
          <cell r="C1392" t="str">
            <v>Women's Skirts</v>
          </cell>
          <cell r="D1392" t="str">
            <v>Black</v>
          </cell>
          <cell r="E1392" t="str">
            <v>OUTER BODY: 87%NYLON 13%ELA...</v>
          </cell>
          <cell r="F1392" t="str">
            <v>VN</v>
          </cell>
          <cell r="G1392" t="str">
            <v>Ab HW Good Form Tennis Skirt</v>
          </cell>
          <cell r="H1392">
            <v>13.65</v>
          </cell>
          <cell r="I1392">
            <v>38</v>
          </cell>
          <cell r="J1392">
            <v>518.70000000000005</v>
          </cell>
          <cell r="K1392" t="str">
            <v>6104.53.2010</v>
          </cell>
          <cell r="L1392" t="str">
            <v>6104.53.00.00.00</v>
          </cell>
        </row>
        <row r="1393">
          <cell r="B1393" t="str">
            <v>W6481R</v>
          </cell>
          <cell r="C1393" t="str">
            <v>Women's Shorts</v>
          </cell>
          <cell r="D1393" t="str">
            <v>Ivory</v>
          </cell>
          <cell r="E1393" t="str">
            <v>BODY: 65%COTTON 35%POLYESTE...</v>
          </cell>
          <cell r="F1393" t="str">
            <v>KH</v>
          </cell>
          <cell r="G1393" t="str">
            <v>Supernatural Sweater Short</v>
          </cell>
          <cell r="H1393">
            <v>12.62</v>
          </cell>
          <cell r="I1393">
            <v>30</v>
          </cell>
          <cell r="J1393">
            <v>378.6</v>
          </cell>
          <cell r="K1393" t="str">
            <v>6104.62.2030</v>
          </cell>
          <cell r="L1393" t="str">
            <v>6104.62.00.00.00</v>
          </cell>
        </row>
        <row r="1394">
          <cell r="B1394" t="str">
            <v>W6481R</v>
          </cell>
          <cell r="C1394" t="str">
            <v>Women's Shorts</v>
          </cell>
          <cell r="D1394" t="str">
            <v>Spearmint</v>
          </cell>
          <cell r="E1394" t="str">
            <v>BODY: 65%COTTON 35%POLYESTE...</v>
          </cell>
          <cell r="F1394" t="str">
            <v>KH</v>
          </cell>
          <cell r="G1394" t="str">
            <v>Supernatural Sweater Short</v>
          </cell>
          <cell r="H1394">
            <v>12.62</v>
          </cell>
          <cell r="I1394">
            <v>20</v>
          </cell>
          <cell r="J1394">
            <v>252.4</v>
          </cell>
          <cell r="K1394" t="str">
            <v>6104.62.2030</v>
          </cell>
          <cell r="L1394" t="str">
            <v>6104.62.00.00.00</v>
          </cell>
        </row>
        <row r="1395">
          <cell r="B1395" t="str">
            <v>W54177R</v>
          </cell>
          <cell r="C1395" t="str">
            <v>Women's 7/8 Leggings</v>
          </cell>
          <cell r="D1395" t="str">
            <v>Black/White</v>
          </cell>
          <cell r="E1395" t="str">
            <v>BODY: 87%POLYESTER 13%ELAST...</v>
          </cell>
          <cell r="F1395" t="str">
            <v>VN</v>
          </cell>
          <cell r="G1395" t="str">
            <v>Alosoft HW 7/8 Relay Leg</v>
          </cell>
          <cell r="H1395">
            <v>14.92</v>
          </cell>
          <cell r="I1395">
            <v>51</v>
          </cell>
          <cell r="J1395">
            <v>760.92</v>
          </cell>
          <cell r="K1395" t="str">
            <v>6104.63.2006</v>
          </cell>
          <cell r="L1395" t="str">
            <v>6104.63.00.00.00</v>
          </cell>
        </row>
        <row r="1396">
          <cell r="B1396" t="str">
            <v>W54177R</v>
          </cell>
          <cell r="C1396" t="str">
            <v>Women's 7/8 Leggings</v>
          </cell>
          <cell r="D1396" t="str">
            <v>Candy Red/White</v>
          </cell>
          <cell r="E1396" t="str">
            <v>BODY: 87%POLYESTER 13%ELAST...</v>
          </cell>
          <cell r="F1396" t="str">
            <v>VN</v>
          </cell>
          <cell r="G1396" t="str">
            <v>Alosoft HW 7/8 Relay Leg</v>
          </cell>
          <cell r="H1396">
            <v>14.92</v>
          </cell>
          <cell r="I1396">
            <v>30</v>
          </cell>
          <cell r="J1396">
            <v>447.6</v>
          </cell>
          <cell r="K1396" t="str">
            <v>6104.63.2006</v>
          </cell>
          <cell r="L1396" t="str">
            <v>6104.63.00.00.00</v>
          </cell>
        </row>
        <row r="1397">
          <cell r="B1397" t="str">
            <v>M1251R</v>
          </cell>
          <cell r="C1397" t="str">
            <v>Men's Short Sleeve Tops</v>
          </cell>
          <cell r="D1397" t="str">
            <v>Black</v>
          </cell>
          <cell r="E1397" t="str">
            <v>47%MODAL 47%COTTON 6%ELAST...</v>
          </cell>
          <cell r="F1397" t="str">
            <v>VN</v>
          </cell>
          <cell r="G1397" t="str">
            <v>Double Take Short Sleeve Polo</v>
          </cell>
          <cell r="H1397">
            <v>12.98</v>
          </cell>
          <cell r="I1397">
            <v>70</v>
          </cell>
          <cell r="J1397">
            <v>908.6</v>
          </cell>
          <cell r="K1397" t="str">
            <v>6105.20.2010</v>
          </cell>
          <cell r="L1397" t="str">
            <v>6105.20.10.00.00</v>
          </cell>
        </row>
        <row r="1398">
          <cell r="B1398" t="str">
            <v>M1251R</v>
          </cell>
          <cell r="C1398" t="str">
            <v>Men's Short Sleeve Tops</v>
          </cell>
          <cell r="D1398" t="str">
            <v>Bone</v>
          </cell>
          <cell r="E1398" t="str">
            <v>47%MODAL 47%COTTON 6%ELAST...</v>
          </cell>
          <cell r="F1398" t="str">
            <v>VN</v>
          </cell>
          <cell r="G1398" t="str">
            <v>Double Take Short Sleeve Polo</v>
          </cell>
          <cell r="H1398">
            <v>12.98</v>
          </cell>
          <cell r="I1398">
            <v>36</v>
          </cell>
          <cell r="J1398">
            <v>467.28</v>
          </cell>
          <cell r="K1398" t="str">
            <v>6105.20.2010</v>
          </cell>
          <cell r="L1398" t="str">
            <v>6105.20.10.00.00</v>
          </cell>
        </row>
        <row r="1399">
          <cell r="B1399" t="str">
            <v>M1251R</v>
          </cell>
          <cell r="C1399" t="str">
            <v>Men's Short Sleeve Tops</v>
          </cell>
          <cell r="D1399" t="str">
            <v>Espresso</v>
          </cell>
          <cell r="E1399" t="str">
            <v>47%MODAL 47%COTTON 6%ELAST...</v>
          </cell>
          <cell r="F1399" t="str">
            <v>VN</v>
          </cell>
          <cell r="G1399" t="str">
            <v>Double Take Short Sleeve Polo</v>
          </cell>
          <cell r="H1399">
            <v>12.98</v>
          </cell>
          <cell r="I1399">
            <v>41</v>
          </cell>
          <cell r="J1399">
            <v>532.17999999999995</v>
          </cell>
          <cell r="K1399" t="str">
            <v>6105.20.2010</v>
          </cell>
          <cell r="L1399" t="str">
            <v>6105.20.10.00.00</v>
          </cell>
        </row>
        <row r="1400">
          <cell r="B1400" t="str">
            <v>W2799R</v>
          </cell>
          <cell r="C1400" t="str">
            <v>Women's Tanks</v>
          </cell>
          <cell r="D1400" t="str">
            <v>White</v>
          </cell>
          <cell r="E1400" t="str">
            <v>93%MODAL 7%ELASTANE</v>
          </cell>
          <cell r="F1400" t="str">
            <v>TW</v>
          </cell>
          <cell r="G1400" t="str">
            <v>Ribbed Prosper Tank</v>
          </cell>
          <cell r="H1400">
            <v>7.36</v>
          </cell>
          <cell r="I1400">
            <v>101</v>
          </cell>
          <cell r="J1400">
            <v>743.36</v>
          </cell>
          <cell r="K1400" t="str">
            <v>6109.90.1065</v>
          </cell>
          <cell r="L1400" t="str">
            <v>6109.90.20.00.12</v>
          </cell>
        </row>
        <row r="1401">
          <cell r="B1401" t="str">
            <v>W2799R</v>
          </cell>
          <cell r="C1401" t="str">
            <v>Women's Tanks</v>
          </cell>
          <cell r="D1401" t="str">
            <v>Black</v>
          </cell>
          <cell r="E1401" t="str">
            <v>93%MODAL 7%ELASTANE</v>
          </cell>
          <cell r="F1401" t="str">
            <v>VN</v>
          </cell>
          <cell r="G1401" t="str">
            <v>Ribbed Prosper Tank</v>
          </cell>
          <cell r="H1401">
            <v>7.22</v>
          </cell>
          <cell r="I1401">
            <v>90</v>
          </cell>
          <cell r="J1401">
            <v>649.79999999999995</v>
          </cell>
          <cell r="K1401" t="str">
            <v>6109.90.1065</v>
          </cell>
          <cell r="L1401" t="str">
            <v>6109.90.20.00.12</v>
          </cell>
        </row>
        <row r="1402">
          <cell r="B1402" t="str">
            <v>W2790R</v>
          </cell>
          <cell r="C1402" t="str">
            <v>Women's Tanks</v>
          </cell>
          <cell r="D1402" t="str">
            <v>Black</v>
          </cell>
          <cell r="E1402" t="str">
            <v>BODY: 93%VISCOSE 7%ELASTANE...</v>
          </cell>
          <cell r="F1402" t="str">
            <v>KH</v>
          </cell>
          <cell r="G1402" t="str">
            <v>Sheer Cashmere Tank</v>
          </cell>
          <cell r="H1402">
            <v>26.82</v>
          </cell>
          <cell r="I1402">
            <v>31</v>
          </cell>
          <cell r="J1402">
            <v>831.42</v>
          </cell>
          <cell r="K1402" t="str">
            <v>6110.12.1020</v>
          </cell>
          <cell r="L1402" t="str">
            <v>6110.12.10.00.00</v>
          </cell>
        </row>
        <row r="1403">
          <cell r="B1403" t="str">
            <v>W2790R</v>
          </cell>
          <cell r="C1403" t="str">
            <v>Women's Tanks</v>
          </cell>
          <cell r="D1403" t="str">
            <v>Athletic Heather Grey</v>
          </cell>
          <cell r="E1403" t="str">
            <v>BODY: 93%VISCOSE 7%ELASTANE...</v>
          </cell>
          <cell r="F1403" t="str">
            <v>KH</v>
          </cell>
          <cell r="G1403" t="str">
            <v>Sheer Cashmere Tank</v>
          </cell>
          <cell r="H1403">
            <v>26.82</v>
          </cell>
          <cell r="I1403">
            <v>27</v>
          </cell>
          <cell r="J1403">
            <v>724.14</v>
          </cell>
          <cell r="K1403" t="str">
            <v>6110.12.1020</v>
          </cell>
          <cell r="L1403" t="str">
            <v>6110.12.10.00.00</v>
          </cell>
        </row>
        <row r="1404">
          <cell r="B1404" t="str">
            <v>W2790R</v>
          </cell>
          <cell r="C1404" t="str">
            <v>Women's Tanks</v>
          </cell>
          <cell r="D1404" t="str">
            <v>Ivory</v>
          </cell>
          <cell r="E1404" t="str">
            <v>BODY: 93%VISCOSE 7%ELASTANE...</v>
          </cell>
          <cell r="F1404" t="str">
            <v>KH</v>
          </cell>
          <cell r="G1404" t="str">
            <v>Sheer Cashmere Tank</v>
          </cell>
          <cell r="H1404">
            <v>26.82</v>
          </cell>
          <cell r="I1404">
            <v>17</v>
          </cell>
          <cell r="J1404">
            <v>455.94</v>
          </cell>
          <cell r="K1404" t="str">
            <v>6110.12.1020</v>
          </cell>
          <cell r="L1404" t="str">
            <v>6110.12.10.00.00</v>
          </cell>
        </row>
        <row r="1405">
          <cell r="B1405" t="str">
            <v>W3946R</v>
          </cell>
          <cell r="C1405" t="str">
            <v>Women's Cover Ups</v>
          </cell>
          <cell r="D1405" t="str">
            <v>Black</v>
          </cell>
          <cell r="E1405" t="str">
            <v>100%CASHMERE&gt;EXCLUSIVE OF TRIMMING</v>
          </cell>
          <cell r="F1405" t="str">
            <v>CN</v>
          </cell>
          <cell r="G1405" t="str">
            <v>Sheer Cashmere Crpd Cardigan</v>
          </cell>
          <cell r="H1405">
            <v>34.270000000000003</v>
          </cell>
          <cell r="I1405">
            <v>50</v>
          </cell>
          <cell r="J1405">
            <v>1713.5</v>
          </cell>
          <cell r="K1405" t="str">
            <v>6110.12.1020</v>
          </cell>
          <cell r="L1405" t="str">
            <v>6110.12.10.00.00</v>
          </cell>
        </row>
        <row r="1406">
          <cell r="B1406" t="str">
            <v>W3946R</v>
          </cell>
          <cell r="C1406" t="str">
            <v>Women's Cover Ups</v>
          </cell>
          <cell r="D1406" t="str">
            <v>Athletic Heather Grey</v>
          </cell>
          <cell r="E1406" t="str">
            <v>100%CASHMERE&gt;EXCLUSIVE OF TRIMMING</v>
          </cell>
          <cell r="F1406" t="str">
            <v>KH</v>
          </cell>
          <cell r="G1406" t="str">
            <v>Sheer Cashmere Crpd Cardigan</v>
          </cell>
          <cell r="H1406">
            <v>35.020000000000003</v>
          </cell>
          <cell r="I1406">
            <v>17</v>
          </cell>
          <cell r="J1406">
            <v>595.34</v>
          </cell>
          <cell r="K1406" t="str">
            <v>6110.12.1020</v>
          </cell>
          <cell r="L1406" t="str">
            <v>6110.12.10.00.00</v>
          </cell>
        </row>
        <row r="1407">
          <cell r="B1407" t="str">
            <v>W3946R</v>
          </cell>
          <cell r="C1407" t="str">
            <v>Women's Cover Ups</v>
          </cell>
          <cell r="D1407" t="str">
            <v>Ivory</v>
          </cell>
          <cell r="E1407" t="str">
            <v>100%CASHMERE&gt;EXCLUSIVE OF TRIMMING</v>
          </cell>
          <cell r="F1407" t="str">
            <v>CN</v>
          </cell>
          <cell r="G1407" t="str">
            <v>Sheer Cashmere Crpd Cardigan</v>
          </cell>
          <cell r="H1407">
            <v>34.270000000000003</v>
          </cell>
          <cell r="I1407">
            <v>20</v>
          </cell>
          <cell r="J1407">
            <v>685.4</v>
          </cell>
          <cell r="K1407" t="str">
            <v>6110.12.1020</v>
          </cell>
          <cell r="L1407" t="str">
            <v>6110.12.10.00.00</v>
          </cell>
        </row>
        <row r="1408">
          <cell r="B1408" t="str">
            <v>W4677R</v>
          </cell>
          <cell r="C1408" t="str">
            <v>Women's Outerwear</v>
          </cell>
          <cell r="D1408" t="str">
            <v>Black/Ivory</v>
          </cell>
          <cell r="E1408" t="str">
            <v>100%COTTON&gt;RIB: 92%COTTON 7...</v>
          </cell>
          <cell r="F1408" t="str">
            <v>CN</v>
          </cell>
          <cell r="G1408" t="str">
            <v>Tennis Club Sweater Knit Full</v>
          </cell>
          <cell r="H1408">
            <v>23.7</v>
          </cell>
          <cell r="I1408">
            <v>70</v>
          </cell>
          <cell r="J1408">
            <v>1659</v>
          </cell>
          <cell r="K1408" t="str">
            <v>6110.20.2020</v>
          </cell>
          <cell r="L1408" t="str">
            <v>6110.20.10.00.00</v>
          </cell>
        </row>
        <row r="1409">
          <cell r="B1409" t="str">
            <v>W4677R</v>
          </cell>
          <cell r="C1409" t="str">
            <v>Women's Outerwear</v>
          </cell>
          <cell r="D1409" t="str">
            <v>Spearmint/White</v>
          </cell>
          <cell r="E1409" t="str">
            <v>100%COTTON&gt;RIB: 92%COTTON 7...</v>
          </cell>
          <cell r="F1409" t="str">
            <v>KH</v>
          </cell>
          <cell r="G1409" t="str">
            <v>Tennis Club Sweater Knit Full</v>
          </cell>
          <cell r="H1409">
            <v>23.77</v>
          </cell>
          <cell r="I1409">
            <v>25</v>
          </cell>
          <cell r="J1409">
            <v>594.25</v>
          </cell>
          <cell r="K1409" t="str">
            <v>6110.20.2020</v>
          </cell>
          <cell r="L1409" t="str">
            <v>6110.20.10.00.00</v>
          </cell>
        </row>
        <row r="1410">
          <cell r="B1410" t="str">
            <v>W3937R</v>
          </cell>
          <cell r="C1410" t="str">
            <v>Women's Cover Ups</v>
          </cell>
          <cell r="D1410" t="str">
            <v>Black</v>
          </cell>
          <cell r="E1410" t="str">
            <v>47%MODAL 47%COTTON 6%ELASTANE</v>
          </cell>
          <cell r="F1410" t="str">
            <v>VN</v>
          </cell>
          <cell r="G1410" t="str">
            <v>Crpd Sway Crwnck Plovr</v>
          </cell>
          <cell r="H1410">
            <v>11.67</v>
          </cell>
          <cell r="I1410">
            <v>37</v>
          </cell>
          <cell r="J1410">
            <v>431.79</v>
          </cell>
          <cell r="K1410" t="str">
            <v>6110.30.3059</v>
          </cell>
          <cell r="L1410" t="str">
            <v>6110.30.99.00.00</v>
          </cell>
        </row>
        <row r="1411">
          <cell r="B1411" t="str">
            <v>W3937R</v>
          </cell>
          <cell r="C1411" t="str">
            <v>Women's Cover Ups</v>
          </cell>
          <cell r="D1411" t="str">
            <v>Athletic Heather Grey</v>
          </cell>
          <cell r="E1411" t="str">
            <v>47%MODAL 47%COTTON 6%ELASTANE</v>
          </cell>
          <cell r="F1411" t="str">
            <v>VN</v>
          </cell>
          <cell r="G1411" t="str">
            <v>Crpd Sway Crwnck Plovr</v>
          </cell>
          <cell r="H1411">
            <v>12.92</v>
          </cell>
          <cell r="I1411">
            <v>36</v>
          </cell>
          <cell r="J1411">
            <v>465.12</v>
          </cell>
          <cell r="K1411" t="str">
            <v>6110.30.3059</v>
          </cell>
          <cell r="L1411" t="str">
            <v>6110.30.99.00.00</v>
          </cell>
        </row>
        <row r="1412">
          <cell r="B1412" t="str">
            <v>M6123R</v>
          </cell>
          <cell r="C1412" t="str">
            <v>Men's Shorts</v>
          </cell>
          <cell r="D1412" t="str">
            <v>Black</v>
          </cell>
          <cell r="E1412" t="str">
            <v>86%POLYESTER 14%ELASTANE</v>
          </cell>
          <cell r="F1412" t="str">
            <v>GT</v>
          </cell>
          <cell r="G1412" t="str">
            <v>7 Circuit Short</v>
          </cell>
          <cell r="H1412">
            <v>10.92</v>
          </cell>
          <cell r="I1412">
            <v>56</v>
          </cell>
          <cell r="J1412">
            <v>611.52</v>
          </cell>
          <cell r="K1412" t="str">
            <v>6203.43.9030</v>
          </cell>
          <cell r="L1412" t="str">
            <v>6203.43.90.00.00</v>
          </cell>
        </row>
        <row r="1413">
          <cell r="B1413" t="str">
            <v>M6123R</v>
          </cell>
          <cell r="C1413" t="str">
            <v>Men's Shorts</v>
          </cell>
          <cell r="D1413" t="str">
            <v>Navy</v>
          </cell>
          <cell r="E1413" t="str">
            <v>86%POLYESTER 14%ELASTANE</v>
          </cell>
          <cell r="F1413" t="str">
            <v>VN</v>
          </cell>
          <cell r="G1413" t="str">
            <v>7 Circuit Short</v>
          </cell>
          <cell r="H1413">
            <v>12.11</v>
          </cell>
          <cell r="I1413">
            <v>71</v>
          </cell>
          <cell r="J1413">
            <v>859.81</v>
          </cell>
          <cell r="K1413" t="str">
            <v>6203.43.9030</v>
          </cell>
          <cell r="L1413" t="str">
            <v>6203.43.90.00.00</v>
          </cell>
        </row>
        <row r="1414">
          <cell r="B1414" t="str">
            <v>M6158R</v>
          </cell>
          <cell r="C1414" t="str">
            <v>Men's Shorts</v>
          </cell>
          <cell r="D1414" t="str">
            <v>Espresso</v>
          </cell>
          <cell r="E1414" t="str">
            <v>BODY: 86%POLYESTER 14%ELAST...</v>
          </cell>
          <cell r="F1414" t="str">
            <v>GT</v>
          </cell>
          <cell r="G1414" t="str">
            <v>5'' Circuit Short</v>
          </cell>
          <cell r="H1414">
            <v>10.58</v>
          </cell>
          <cell r="I1414">
            <v>41</v>
          </cell>
          <cell r="J1414">
            <v>433.78</v>
          </cell>
          <cell r="K1414" t="str">
            <v>6203.43.9030</v>
          </cell>
          <cell r="L1414" t="str">
            <v>6203.43.90.00.00</v>
          </cell>
        </row>
        <row r="1415">
          <cell r="B1415" t="str">
            <v>W6450R</v>
          </cell>
          <cell r="C1415" t="str">
            <v>Women's Skirts</v>
          </cell>
          <cell r="D1415" t="str">
            <v>Black</v>
          </cell>
          <cell r="E1415" t="str">
            <v>OUTER BODY: 75%COTTON 11%PO...</v>
          </cell>
          <cell r="F1415" t="str">
            <v>ID</v>
          </cell>
          <cell r="G1415" t="str">
            <v>Good Days Mini Skirt</v>
          </cell>
          <cell r="H1415">
            <v>14.62</v>
          </cell>
          <cell r="I1415">
            <v>25</v>
          </cell>
          <cell r="J1415">
            <v>365.5</v>
          </cell>
          <cell r="K1415" t="str">
            <v>6204.52.2070</v>
          </cell>
          <cell r="L1415" t="str">
            <v>6204.52.00.00.18</v>
          </cell>
        </row>
        <row r="1416">
          <cell r="B1416" t="str">
            <v>W6480R</v>
          </cell>
          <cell r="C1416" t="str">
            <v>Women's Skirts</v>
          </cell>
          <cell r="D1416" t="str">
            <v>Spearmint</v>
          </cell>
          <cell r="E1416" t="str">
            <v>OUTER BODY: 100%NYLON&gt;INNER ...</v>
          </cell>
          <cell r="F1416" t="str">
            <v>VN</v>
          </cell>
          <cell r="G1416" t="str">
            <v>Alumni Tennis Skirt</v>
          </cell>
          <cell r="H1416">
            <v>12.59</v>
          </cell>
          <cell r="I1416">
            <v>20</v>
          </cell>
          <cell r="J1416">
            <v>251.8</v>
          </cell>
          <cell r="K1416" t="str">
            <v>6204.53.3010</v>
          </cell>
          <cell r="L1416" t="str">
            <v>6204.53.00.00.00</v>
          </cell>
        </row>
        <row r="1417">
          <cell r="B1417" t="str">
            <v>W54222R</v>
          </cell>
          <cell r="C1417" t="str">
            <v>Women's Trousers</v>
          </cell>
          <cell r="D1417" t="str">
            <v>White</v>
          </cell>
          <cell r="E1417" t="str">
            <v>BODY: 86%POLYESTER 14%ELAST...</v>
          </cell>
          <cell r="F1417" t="str">
            <v>VN</v>
          </cell>
          <cell r="G1417" t="str">
            <v>Mesh Mirage Trouser</v>
          </cell>
          <cell r="H1417">
            <v>20.75</v>
          </cell>
          <cell r="I1417">
            <v>86</v>
          </cell>
          <cell r="J1417">
            <v>1784.5</v>
          </cell>
          <cell r="K1417" t="str">
            <v>6204.63.9011</v>
          </cell>
          <cell r="L1417" t="str">
            <v>6204.63.90.00.00</v>
          </cell>
        </row>
        <row r="1418">
          <cell r="B1418" t="str">
            <v>W54222R</v>
          </cell>
          <cell r="C1418" t="str">
            <v>Women's Trousers</v>
          </cell>
          <cell r="D1418" t="str">
            <v>Black</v>
          </cell>
          <cell r="E1418" t="str">
            <v>BODY: 86%POLYESTER 14%ELAST...</v>
          </cell>
          <cell r="F1418" t="str">
            <v>VN</v>
          </cell>
          <cell r="G1418" t="str">
            <v>Mesh Mirage Trouser</v>
          </cell>
          <cell r="H1418">
            <v>20.75</v>
          </cell>
          <cell r="I1418">
            <v>100</v>
          </cell>
          <cell r="J1418">
            <v>2075</v>
          </cell>
          <cell r="K1418" t="str">
            <v>6204.63.9011</v>
          </cell>
          <cell r="L1418" t="str">
            <v>6204.63.90.00.00</v>
          </cell>
        </row>
        <row r="1419">
          <cell r="B1419" t="str">
            <v>W2785R</v>
          </cell>
          <cell r="C1419" t="str">
            <v>Women's Tanks</v>
          </cell>
          <cell r="D1419" t="str">
            <v>White</v>
          </cell>
          <cell r="E1419" t="str">
            <v>90%POLYESTER 10%ELASTANE</v>
          </cell>
          <cell r="F1419" t="str">
            <v>KH</v>
          </cell>
          <cell r="G1419" t="str">
            <v>Cropped Sport Star Tank</v>
          </cell>
          <cell r="H1419">
            <v>5.45</v>
          </cell>
          <cell r="I1419">
            <v>30</v>
          </cell>
          <cell r="J1419">
            <v>163.5</v>
          </cell>
          <cell r="K1419" t="str">
            <v>6211.43.1062</v>
          </cell>
          <cell r="L1419" t="str">
            <v>6211.43.10.00.00</v>
          </cell>
        </row>
        <row r="1420">
          <cell r="B1420" t="str">
            <v>W2785R</v>
          </cell>
          <cell r="C1420" t="str">
            <v>Women's Tanks</v>
          </cell>
          <cell r="D1420" t="str">
            <v>Black</v>
          </cell>
          <cell r="E1420" t="str">
            <v>90%POLYESTER 10%ELASTANE</v>
          </cell>
          <cell r="F1420" t="str">
            <v>KH</v>
          </cell>
          <cell r="G1420" t="str">
            <v>Cropped Sport Star Tank</v>
          </cell>
          <cell r="H1420">
            <v>5.45</v>
          </cell>
          <cell r="I1420">
            <v>51</v>
          </cell>
          <cell r="J1420">
            <v>277.95</v>
          </cell>
          <cell r="K1420" t="str">
            <v>6211.43.1062</v>
          </cell>
          <cell r="L1420" t="str">
            <v>6211.43.10.00.00</v>
          </cell>
        </row>
        <row r="1421">
          <cell r="B1421" t="str">
            <v>W2785R</v>
          </cell>
          <cell r="C1421" t="str">
            <v>Women's Tanks</v>
          </cell>
          <cell r="D1421" t="str">
            <v>Candy Red</v>
          </cell>
          <cell r="E1421" t="str">
            <v>90%POLYESTER 10%ELASTANE</v>
          </cell>
          <cell r="F1421" t="str">
            <v>KH</v>
          </cell>
          <cell r="G1421" t="str">
            <v>Cropped Sport Star Tank</v>
          </cell>
          <cell r="H1421">
            <v>5.45</v>
          </cell>
          <cell r="I1421">
            <v>16</v>
          </cell>
          <cell r="J1421">
            <v>87.2</v>
          </cell>
          <cell r="K1421" t="str">
            <v>6211.43.1062</v>
          </cell>
          <cell r="L1421" t="str">
            <v>6211.43.10.00.00</v>
          </cell>
        </row>
        <row r="1422">
          <cell r="B1422" t="str">
            <v>W9845R</v>
          </cell>
          <cell r="C1422" t="str">
            <v>Women's Bras</v>
          </cell>
          <cell r="D1422" t="str">
            <v>Black</v>
          </cell>
          <cell r="E1422" t="str">
            <v>BODY: 77%POLYESTER 23%ELAST...</v>
          </cell>
          <cell r="F1422" t="str">
            <v>TW</v>
          </cell>
          <cell r="G1422" t="str">
            <v>Airlift Divine Bra</v>
          </cell>
          <cell r="H1422">
            <v>9.27</v>
          </cell>
          <cell r="I1422">
            <v>80</v>
          </cell>
          <cell r="J1422">
            <v>741.6</v>
          </cell>
          <cell r="K1422" t="str">
            <v>6212.10.9020</v>
          </cell>
          <cell r="L1422" t="str">
            <v>6212.10.90.00.00</v>
          </cell>
        </row>
        <row r="1423">
          <cell r="B1423" t="str">
            <v>W9845R</v>
          </cell>
          <cell r="C1423" t="str">
            <v>Women's Bras</v>
          </cell>
          <cell r="D1423" t="str">
            <v>Taupe</v>
          </cell>
          <cell r="E1423" t="str">
            <v>BODY: 77%POLYESTER 23%ELAST...</v>
          </cell>
          <cell r="F1423" t="str">
            <v>TW</v>
          </cell>
          <cell r="G1423" t="str">
            <v>Airlift Divine Bra</v>
          </cell>
          <cell r="H1423">
            <v>9.1999999999999993</v>
          </cell>
          <cell r="I1423">
            <v>26</v>
          </cell>
          <cell r="J1423">
            <v>239.2</v>
          </cell>
          <cell r="K1423" t="str">
            <v>6212.10.9020</v>
          </cell>
          <cell r="L1423" t="str">
            <v>6212.10.90.00.00</v>
          </cell>
        </row>
        <row r="1424">
          <cell r="B1424" t="str">
            <v>W9845R</v>
          </cell>
          <cell r="C1424" t="str">
            <v>Women's Bras</v>
          </cell>
          <cell r="D1424" t="str">
            <v>Macadamia</v>
          </cell>
          <cell r="E1424" t="str">
            <v>BODY: 77%POLYESTER 23%ELAST...</v>
          </cell>
          <cell r="F1424" t="str">
            <v>TW</v>
          </cell>
          <cell r="G1424" t="str">
            <v>Airlift Divine Bra</v>
          </cell>
          <cell r="H1424">
            <v>9.44</v>
          </cell>
          <cell r="I1424">
            <v>40</v>
          </cell>
          <cell r="J1424">
            <v>377.6</v>
          </cell>
          <cell r="K1424" t="str">
            <v>6212.10.9020</v>
          </cell>
          <cell r="L1424" t="str">
            <v>6212.10.90.00.00</v>
          </cell>
        </row>
        <row r="1425">
          <cell r="B1425" t="str">
            <v>W9845R</v>
          </cell>
          <cell r="C1425" t="str">
            <v>Women's Bras</v>
          </cell>
          <cell r="D1425" t="str">
            <v>Seashell Blue</v>
          </cell>
          <cell r="E1425" t="str">
            <v>BODY: 77%POLYESTER 23%ELAST...</v>
          </cell>
          <cell r="F1425" t="str">
            <v>TW</v>
          </cell>
          <cell r="G1425" t="str">
            <v>Airlift Divine Bra</v>
          </cell>
          <cell r="H1425">
            <v>9.44</v>
          </cell>
          <cell r="I1425">
            <v>44</v>
          </cell>
          <cell r="J1425">
            <v>415.36</v>
          </cell>
          <cell r="K1425" t="str">
            <v>6212.10.9020</v>
          </cell>
          <cell r="L1425" t="str">
            <v>6212.10.90.00.00</v>
          </cell>
        </row>
        <row r="1426">
          <cell r="B1426" t="str">
            <v>W54198R</v>
          </cell>
          <cell r="C1426" t="str">
            <v>Women's Other Bottoms</v>
          </cell>
          <cell r="D1426" t="str">
            <v>Macadamia</v>
          </cell>
          <cell r="E1426" t="str">
            <v>56%LINEN 41%VISCOSE 3%ELASTANE</v>
          </cell>
          <cell r="F1426" t="str">
            <v>ID</v>
          </cell>
          <cell r="G1426" t="str">
            <v>Linen Getaway Cargo Wide Leg P</v>
          </cell>
          <cell r="H1426">
            <v>32.99</v>
          </cell>
          <cell r="I1426">
            <v>36</v>
          </cell>
          <cell r="J1426">
            <v>1187.6400000000001</v>
          </cell>
          <cell r="K1426" t="str">
            <v>6204.69.8044</v>
          </cell>
          <cell r="L1426" t="str">
            <v>6204.69.90.00.00</v>
          </cell>
        </row>
        <row r="1427">
          <cell r="B1427" t="str">
            <v>M1249R</v>
          </cell>
          <cell r="C1427" t="str">
            <v>Men's Short Sleeve Tops</v>
          </cell>
          <cell r="D1427" t="str">
            <v>Black</v>
          </cell>
          <cell r="E1427" t="str">
            <v>100% COTTON</v>
          </cell>
          <cell r="F1427" t="str">
            <v>SG</v>
          </cell>
          <cell r="G1427" t="str">
            <v>Sports Club Sweater Knit Ss Bu</v>
          </cell>
          <cell r="H1427">
            <v>26.04</v>
          </cell>
          <cell r="I1427">
            <v>50</v>
          </cell>
          <cell r="J1427">
            <v>1302</v>
          </cell>
          <cell r="K1427" t="str">
            <v>6104.42.0010</v>
          </cell>
          <cell r="L1427" t="str">
            <v>6104.42.00.00.00</v>
          </cell>
        </row>
        <row r="1428">
          <cell r="B1428" t="str">
            <v>M1249R</v>
          </cell>
          <cell r="C1428" t="str">
            <v>Men's Short Sleeve Tops</v>
          </cell>
          <cell r="D1428" t="str">
            <v>Navy</v>
          </cell>
          <cell r="E1428" t="str">
            <v>100% COTTON</v>
          </cell>
          <cell r="F1428" t="str">
            <v>SG</v>
          </cell>
          <cell r="G1428" t="str">
            <v>Sports Club Sweater Knit Ss Bu</v>
          </cell>
          <cell r="H1428">
            <v>26.04</v>
          </cell>
          <cell r="I1428">
            <v>35</v>
          </cell>
          <cell r="J1428">
            <v>911.4</v>
          </cell>
          <cell r="K1428" t="str">
            <v>6104.42.0010</v>
          </cell>
          <cell r="L1428" t="str">
            <v>6104.42.00.00.00</v>
          </cell>
        </row>
        <row r="1429">
          <cell r="B1429" t="str">
            <v>W6519R</v>
          </cell>
          <cell r="C1429" t="str">
            <v>Women's Shorts</v>
          </cell>
          <cell r="D1429" t="str">
            <v>Black/White</v>
          </cell>
          <cell r="E1429" t="str">
            <v>87%NYLON 13%ELASTANE</v>
          </cell>
          <cell r="F1429" t="str">
            <v>VN</v>
          </cell>
          <cell r="G1429" t="str">
            <v>Airbrush Heart Throb Short</v>
          </cell>
          <cell r="H1429">
            <v>11.25</v>
          </cell>
          <cell r="I1429">
            <v>41</v>
          </cell>
          <cell r="J1429">
            <v>461.25</v>
          </cell>
          <cell r="K1429" t="str">
            <v>6104.42.0010</v>
          </cell>
          <cell r="L1429" t="str">
            <v>6104.42.00.00.00</v>
          </cell>
        </row>
        <row r="1430">
          <cell r="B1430" t="str">
            <v>W8322R</v>
          </cell>
          <cell r="C1430" t="str">
            <v>Women's Dresses</v>
          </cell>
          <cell r="D1430" t="str">
            <v>White</v>
          </cell>
          <cell r="E1430" t="str">
            <v>OUTER BODY: 83%NYLON 17%ELA...</v>
          </cell>
          <cell r="F1430" t="str">
            <v>VN</v>
          </cell>
          <cell r="G1430" t="str">
            <v>Breezy Tennis Dress</v>
          </cell>
          <cell r="H1430">
            <v>27.21</v>
          </cell>
          <cell r="I1430">
            <v>36</v>
          </cell>
          <cell r="J1430">
            <v>979.56</v>
          </cell>
          <cell r="K1430" t="str">
            <v>6104.42.0010</v>
          </cell>
          <cell r="L1430" t="str">
            <v>6104.42.00.00.00</v>
          </cell>
        </row>
        <row r="1431">
          <cell r="B1431" t="str">
            <v>W8322R</v>
          </cell>
          <cell r="C1431" t="str">
            <v>Women's Dresses</v>
          </cell>
          <cell r="D1431" t="str">
            <v>Black</v>
          </cell>
          <cell r="E1431" t="str">
            <v>OUTER BODY: 83%NYLON 17%ELA...</v>
          </cell>
          <cell r="F1431" t="str">
            <v>VN</v>
          </cell>
          <cell r="G1431" t="str">
            <v>Breezy Tennis Dress</v>
          </cell>
          <cell r="H1431">
            <v>27.21</v>
          </cell>
          <cell r="I1431">
            <v>42</v>
          </cell>
          <cell r="J1431">
            <v>1142.82</v>
          </cell>
          <cell r="K1431" t="str">
            <v>6104.42.0010</v>
          </cell>
          <cell r="L1431" t="str">
            <v>6104.42.00.00.00</v>
          </cell>
        </row>
        <row r="1432">
          <cell r="B1432" t="str">
            <v>W8332R</v>
          </cell>
          <cell r="C1432" t="str">
            <v>Women's Dresses</v>
          </cell>
          <cell r="D1432" t="str">
            <v>Black/White</v>
          </cell>
          <cell r="E1432" t="str">
            <v>OUTER BODY: 78%NYLON 22%ELA...</v>
          </cell>
          <cell r="F1432" t="str">
            <v>SV</v>
          </cell>
          <cell r="G1432" t="str">
            <v>Butter Halter Dress</v>
          </cell>
          <cell r="H1432">
            <v>19.93</v>
          </cell>
          <cell r="I1432">
            <v>34</v>
          </cell>
          <cell r="J1432">
            <v>677.62</v>
          </cell>
          <cell r="K1432" t="str">
            <v>6104.43.2010</v>
          </cell>
          <cell r="L1432" t="str">
            <v>6104.43.00.00.19</v>
          </cell>
        </row>
        <row r="1433">
          <cell r="B1433" t="str">
            <v>W8332R</v>
          </cell>
          <cell r="C1433" t="str">
            <v>Women's Dresses</v>
          </cell>
          <cell r="D1433" t="str">
            <v>Candy Red/White</v>
          </cell>
          <cell r="E1433" t="str">
            <v>OUTER BODY: 78%NYLON 22%ELA...</v>
          </cell>
          <cell r="F1433" t="str">
            <v>SV</v>
          </cell>
          <cell r="G1433" t="str">
            <v>Butter Halter Dress</v>
          </cell>
          <cell r="H1433">
            <v>19.93</v>
          </cell>
          <cell r="I1433">
            <v>24</v>
          </cell>
          <cell r="J1433">
            <v>478.32</v>
          </cell>
          <cell r="K1433" t="str">
            <v>6104.43.2010</v>
          </cell>
          <cell r="L1433" t="str">
            <v>6104.43.00.00.19</v>
          </cell>
        </row>
        <row r="1434">
          <cell r="B1434" t="str">
            <v>W6496R</v>
          </cell>
          <cell r="C1434" t="str">
            <v>Women's Shorts</v>
          </cell>
          <cell r="D1434" t="str">
            <v>Black/Ivory</v>
          </cell>
          <cell r="E1434" t="str">
            <v>82%POLYESTER 18%ELASTANE</v>
          </cell>
          <cell r="F1434" t="str">
            <v>SG</v>
          </cell>
          <cell r="G1434" t="str">
            <v>Tennis Club Sweater Knit Hot S</v>
          </cell>
          <cell r="H1434">
            <v>15.83</v>
          </cell>
          <cell r="I1434">
            <v>36</v>
          </cell>
          <cell r="J1434">
            <v>569.88</v>
          </cell>
          <cell r="K1434" t="str">
            <v>6104.62.2030</v>
          </cell>
          <cell r="L1434" t="str">
            <v>6104.62.00.00.00</v>
          </cell>
        </row>
        <row r="1435">
          <cell r="B1435" t="str">
            <v>W6496R</v>
          </cell>
          <cell r="C1435" t="str">
            <v>Women's Shorts</v>
          </cell>
          <cell r="D1435" t="str">
            <v>Seashell Blue/White</v>
          </cell>
          <cell r="E1435" t="str">
            <v>82%POLYESTER 18%ELASTANE</v>
          </cell>
          <cell r="F1435" t="str">
            <v>SG</v>
          </cell>
          <cell r="G1435" t="str">
            <v>Tennis Club Sweater Knit Hot S</v>
          </cell>
          <cell r="H1435">
            <v>15.83</v>
          </cell>
          <cell r="I1435">
            <v>56</v>
          </cell>
          <cell r="J1435">
            <v>886.48</v>
          </cell>
          <cell r="K1435" t="str">
            <v>6104.62.2030</v>
          </cell>
          <cell r="L1435" t="str">
            <v>6104.62.00.00.00</v>
          </cell>
        </row>
        <row r="1436">
          <cell r="B1436" t="str">
            <v>W2792R</v>
          </cell>
          <cell r="C1436" t="str">
            <v>Women's Tanks</v>
          </cell>
          <cell r="D1436" t="str">
            <v>Black/Ivory</v>
          </cell>
          <cell r="E1436" t="str">
            <v>100% COTTON</v>
          </cell>
          <cell r="F1436" t="str">
            <v>KH</v>
          </cell>
          <cell r="G1436" t="str">
            <v>Tennis Club Sweater Knit Tank</v>
          </cell>
          <cell r="H1436">
            <v>12.02</v>
          </cell>
          <cell r="I1436">
            <v>16</v>
          </cell>
          <cell r="J1436">
            <v>192.32</v>
          </cell>
          <cell r="K1436" t="str">
            <v>6109.10.0060</v>
          </cell>
          <cell r="L1436" t="str">
            <v>6109.10.00.00.00</v>
          </cell>
        </row>
        <row r="1437">
          <cell r="B1437" t="str">
            <v>W2792R</v>
          </cell>
          <cell r="C1437" t="str">
            <v>Women's Tanks</v>
          </cell>
          <cell r="D1437" t="str">
            <v>Navy/Ivory</v>
          </cell>
          <cell r="E1437" t="str">
            <v>100% COTTON</v>
          </cell>
          <cell r="F1437" t="str">
            <v>KH</v>
          </cell>
          <cell r="G1437" t="str">
            <v>Tennis Club Sweater Knit Tank</v>
          </cell>
          <cell r="H1437">
            <v>12.02</v>
          </cell>
          <cell r="I1437">
            <v>26</v>
          </cell>
          <cell r="J1437">
            <v>312.52</v>
          </cell>
          <cell r="K1437" t="str">
            <v>6109.10.0060</v>
          </cell>
          <cell r="L1437" t="str">
            <v>6109.10.00.00.00</v>
          </cell>
        </row>
        <row r="1438">
          <cell r="B1438" t="str">
            <v>W1484R</v>
          </cell>
          <cell r="C1438" t="str">
            <v>Women's Short Sleeve Tops</v>
          </cell>
          <cell r="D1438" t="str">
            <v>Black/Ivory</v>
          </cell>
          <cell r="E1438" t="str">
            <v>BODY: 65%COTTON 35%POLYESTE...</v>
          </cell>
          <cell r="F1438" t="str">
            <v>KH</v>
          </cell>
          <cell r="G1438" t="str">
            <v>Tennis Club Sweater Knit Crpd</v>
          </cell>
          <cell r="H1438">
            <v>13.52</v>
          </cell>
          <cell r="I1438">
            <v>41</v>
          </cell>
          <cell r="J1438">
            <v>554.32000000000005</v>
          </cell>
          <cell r="K1438" t="str">
            <v>6110.20.2020</v>
          </cell>
          <cell r="L1438" t="str">
            <v>6110.20.99.00.00</v>
          </cell>
        </row>
        <row r="1439">
          <cell r="B1439" t="str">
            <v>W1484R</v>
          </cell>
          <cell r="C1439" t="str">
            <v>Women's Short Sleeve Tops</v>
          </cell>
          <cell r="D1439" t="str">
            <v>Seashell Blue/White</v>
          </cell>
          <cell r="E1439" t="str">
            <v>BODY: 65%COTTON 35%POLYESTE...</v>
          </cell>
          <cell r="F1439" t="str">
            <v>KH</v>
          </cell>
          <cell r="G1439" t="str">
            <v>Tennis Club Sweater Knit Crpd</v>
          </cell>
          <cell r="H1439">
            <v>13.52</v>
          </cell>
          <cell r="I1439">
            <v>64</v>
          </cell>
          <cell r="J1439">
            <v>865.28</v>
          </cell>
          <cell r="K1439" t="str">
            <v>6110.20.2020</v>
          </cell>
          <cell r="L1439" t="str">
            <v>6110.20.99.00.00</v>
          </cell>
        </row>
        <row r="1440">
          <cell r="B1440" t="str">
            <v>W2787R</v>
          </cell>
          <cell r="C1440" t="str">
            <v>Women's Tanks</v>
          </cell>
          <cell r="D1440" t="str">
            <v>Black</v>
          </cell>
          <cell r="E1440" t="str">
            <v>89%COTTON 10%NYLON 1%ELASTANE</v>
          </cell>
          <cell r="F1440" t="str">
            <v>KH</v>
          </cell>
          <cell r="G1440" t="str">
            <v>Supernatural Sweater Tank</v>
          </cell>
          <cell r="H1440">
            <v>9.82</v>
          </cell>
          <cell r="I1440">
            <v>26</v>
          </cell>
          <cell r="J1440">
            <v>255.32</v>
          </cell>
          <cell r="K1440" t="str">
            <v>6114.20.0010</v>
          </cell>
          <cell r="L1440" t="str">
            <v>6114.20.00.00.00</v>
          </cell>
        </row>
        <row r="1441">
          <cell r="B1441" t="str">
            <v>W2787R</v>
          </cell>
          <cell r="C1441" t="str">
            <v>Women's Tanks</v>
          </cell>
          <cell r="D1441" t="str">
            <v>Ivory</v>
          </cell>
          <cell r="E1441" t="str">
            <v>89%COTTON 10%NYLON 1%ELASTANE</v>
          </cell>
          <cell r="F1441" t="str">
            <v>KH</v>
          </cell>
          <cell r="G1441" t="str">
            <v>Supernatural Sweater Tank</v>
          </cell>
          <cell r="H1441">
            <v>9.82</v>
          </cell>
          <cell r="I1441">
            <v>40</v>
          </cell>
          <cell r="J1441">
            <v>392.8</v>
          </cell>
          <cell r="K1441" t="str">
            <v>6114.20.0010</v>
          </cell>
          <cell r="L1441" t="str">
            <v>6114.20.00.00.00</v>
          </cell>
        </row>
        <row r="1442">
          <cell r="B1442" t="str">
            <v>W2787R</v>
          </cell>
          <cell r="C1442" t="str">
            <v>Women's Tanks</v>
          </cell>
          <cell r="D1442" t="str">
            <v>Spearmint</v>
          </cell>
          <cell r="E1442" t="str">
            <v>89%COTTON 10%NYLON 1%ELASTANE</v>
          </cell>
          <cell r="F1442" t="str">
            <v>KH</v>
          </cell>
          <cell r="G1442" t="str">
            <v>Supernatural Sweater Tank</v>
          </cell>
          <cell r="H1442">
            <v>9.82</v>
          </cell>
          <cell r="I1442">
            <v>34</v>
          </cell>
          <cell r="J1442">
            <v>333.88</v>
          </cell>
          <cell r="K1442" t="str">
            <v>6114.20.0010</v>
          </cell>
          <cell r="L1442" t="str">
            <v>6114.20.00.00.00</v>
          </cell>
        </row>
        <row r="1443">
          <cell r="B1443" t="str">
            <v>W3825R</v>
          </cell>
          <cell r="C1443" t="str">
            <v>Women's Long Sleeve Tops</v>
          </cell>
          <cell r="D1443" t="str">
            <v>Black</v>
          </cell>
          <cell r="E1443" t="str">
            <v>78%NYLON 22%ELASTANE</v>
          </cell>
          <cell r="F1443" t="str">
            <v>CN</v>
          </cell>
          <cell r="G1443" t="str">
            <v>Asymmetric Sheer Glow LS</v>
          </cell>
          <cell r="H1443">
            <v>8</v>
          </cell>
          <cell r="I1443">
            <v>70</v>
          </cell>
          <cell r="J1443">
            <v>560</v>
          </cell>
          <cell r="K1443" t="str">
            <v>6114.30.1020</v>
          </cell>
          <cell r="L1443" t="str">
            <v>6114.30.00.00.11</v>
          </cell>
        </row>
        <row r="1444">
          <cell r="B1444" t="str">
            <v>W3825R</v>
          </cell>
          <cell r="C1444" t="str">
            <v>Women's Long Sleeve Tops</v>
          </cell>
          <cell r="D1444" t="str">
            <v>Ivory</v>
          </cell>
          <cell r="E1444" t="str">
            <v>78%NYLON 22%ELASTANE</v>
          </cell>
          <cell r="F1444" t="str">
            <v>CN</v>
          </cell>
          <cell r="G1444" t="str">
            <v>Asymmetric Sheer Glow LS</v>
          </cell>
          <cell r="H1444">
            <v>8</v>
          </cell>
          <cell r="I1444">
            <v>52</v>
          </cell>
          <cell r="J1444">
            <v>416</v>
          </cell>
          <cell r="K1444" t="str">
            <v>6114.30.1020</v>
          </cell>
          <cell r="L1444" t="str">
            <v>6114.30.00.00.11</v>
          </cell>
        </row>
        <row r="1445">
          <cell r="B1445" t="str">
            <v>W3913R</v>
          </cell>
          <cell r="C1445" t="str">
            <v>Women's Cover Ups</v>
          </cell>
          <cell r="D1445" t="str">
            <v>Black</v>
          </cell>
          <cell r="E1445" t="str">
            <v>100%NYLON</v>
          </cell>
          <cell r="F1445" t="str">
            <v>VN</v>
          </cell>
          <cell r="G1445" t="str">
            <v>Crpd 1/4 Zip Aerial Plovr</v>
          </cell>
          <cell r="H1445">
            <v>23.52</v>
          </cell>
          <cell r="I1445">
            <v>43</v>
          </cell>
          <cell r="J1445">
            <v>1011.36</v>
          </cell>
          <cell r="K1445" t="str">
            <v>6202.40.7511</v>
          </cell>
          <cell r="L1445" t="str">
            <v>6202.40.10.00.11</v>
          </cell>
        </row>
        <row r="1446">
          <cell r="B1446" t="str">
            <v>W3913R</v>
          </cell>
          <cell r="C1446" t="str">
            <v>Women's Cover Ups</v>
          </cell>
          <cell r="D1446" t="str">
            <v>Neon Bubblegum</v>
          </cell>
          <cell r="E1446" t="str">
            <v>100%NYLON</v>
          </cell>
          <cell r="F1446" t="str">
            <v>VN</v>
          </cell>
          <cell r="G1446" t="str">
            <v>Crpd 1/4 Zip Aerial Plovr</v>
          </cell>
          <cell r="H1446">
            <v>23.52</v>
          </cell>
          <cell r="I1446">
            <v>26</v>
          </cell>
          <cell r="J1446">
            <v>611.52</v>
          </cell>
          <cell r="K1446" t="str">
            <v>6202.40.7511</v>
          </cell>
          <cell r="L1446" t="str">
            <v>6202.40.10.00.11</v>
          </cell>
        </row>
        <row r="1447">
          <cell r="B1447" t="str">
            <v>W6509R</v>
          </cell>
          <cell r="C1447" t="str">
            <v>Women's Skirts</v>
          </cell>
          <cell r="D1447" t="str">
            <v>Black</v>
          </cell>
          <cell r="E1447" t="str">
            <v>OUTER BODY: 88%POLYESTER 12...</v>
          </cell>
          <cell r="F1447" t="str">
            <v>ID</v>
          </cell>
          <cell r="G1447" t="str">
            <v>Dreamscape Tennis Skirt</v>
          </cell>
          <cell r="H1447">
            <v>12.8</v>
          </cell>
          <cell r="I1447">
            <v>33</v>
          </cell>
          <cell r="J1447">
            <v>422.4</v>
          </cell>
          <cell r="K1447" t="str">
            <v>6204.53.3010</v>
          </cell>
          <cell r="L1447" t="str">
            <v>6204.53.00.00.00</v>
          </cell>
        </row>
        <row r="1448">
          <cell r="B1448" t="str">
            <v>W6509R</v>
          </cell>
          <cell r="C1448" t="str">
            <v>Women's Skirts</v>
          </cell>
          <cell r="D1448" t="str">
            <v>Macadamia</v>
          </cell>
          <cell r="E1448" t="str">
            <v>OUTER BODY: 88%POLYESTER 12...</v>
          </cell>
          <cell r="F1448" t="str">
            <v>ID</v>
          </cell>
          <cell r="G1448" t="str">
            <v>Dreamscape Tennis Skirt</v>
          </cell>
          <cell r="H1448">
            <v>12.8</v>
          </cell>
          <cell r="I1448">
            <v>36</v>
          </cell>
          <cell r="J1448">
            <v>460.8</v>
          </cell>
          <cell r="K1448" t="str">
            <v>6204.53.3010</v>
          </cell>
          <cell r="L1448" t="str">
            <v>6204.53.00.00.00</v>
          </cell>
        </row>
        <row r="1449">
          <cell r="B1449" t="str">
            <v>W2798R</v>
          </cell>
          <cell r="C1449" t="str">
            <v>Women's Tanks</v>
          </cell>
          <cell r="D1449" t="str">
            <v>Black</v>
          </cell>
          <cell r="E1449" t="str">
            <v>88%POLYESTER 12%ELASTANE</v>
          </cell>
          <cell r="F1449" t="str">
            <v>ID</v>
          </cell>
          <cell r="G1449" t="str">
            <v>Dreamscape Button Up Tank</v>
          </cell>
          <cell r="H1449">
            <v>7.92</v>
          </cell>
          <cell r="I1449">
            <v>20</v>
          </cell>
          <cell r="J1449">
            <v>158.4</v>
          </cell>
          <cell r="K1449" t="str">
            <v>6211.43.1062</v>
          </cell>
          <cell r="L1449" t="str">
            <v>6211.43.10.00.00</v>
          </cell>
        </row>
        <row r="1450">
          <cell r="B1450" t="str">
            <v>W4680R</v>
          </cell>
          <cell r="C1450" t="str">
            <v>Women's Outerwear</v>
          </cell>
          <cell r="D1450" t="str">
            <v>Macadamia</v>
          </cell>
          <cell r="E1450" t="str">
            <v>BODY: 56%LINEN 41%VISCOSE 3%...</v>
          </cell>
          <cell r="F1450" t="str">
            <v>ID</v>
          </cell>
          <cell r="G1450" t="str">
            <v>Linen Cropped Getaway Jacket</v>
          </cell>
          <cell r="H1450">
            <v>28.54</v>
          </cell>
          <cell r="I1450">
            <v>37</v>
          </cell>
          <cell r="J1450">
            <v>1055.98</v>
          </cell>
          <cell r="K1450" t="str">
            <v>6211.49.8080</v>
          </cell>
          <cell r="L1450" t="str">
            <v>6211.49.00.00.19</v>
          </cell>
        </row>
        <row r="1451">
          <cell r="B1451" t="str">
            <v>W9825R</v>
          </cell>
          <cell r="C1451" t="str">
            <v>Women's Bras</v>
          </cell>
          <cell r="D1451" t="str">
            <v>Black/White</v>
          </cell>
          <cell r="E1451" t="str">
            <v>BODY: 87%POLYESTER 13%ELAST...</v>
          </cell>
          <cell r="F1451" t="str">
            <v>VN</v>
          </cell>
          <cell r="G1451" t="str">
            <v>Alosoft Relay Bra</v>
          </cell>
          <cell r="H1451">
            <v>10.95</v>
          </cell>
          <cell r="I1451">
            <v>50</v>
          </cell>
          <cell r="J1451">
            <v>547.5</v>
          </cell>
          <cell r="K1451" t="str">
            <v>6212.10.9020</v>
          </cell>
          <cell r="L1451" t="str">
            <v>6212.10.90.00.00</v>
          </cell>
        </row>
        <row r="1452">
          <cell r="B1452" t="str">
            <v>W9825R</v>
          </cell>
          <cell r="C1452" t="str">
            <v>Women's Bras</v>
          </cell>
          <cell r="D1452" t="str">
            <v>Candy Red/White</v>
          </cell>
          <cell r="E1452" t="str">
            <v>BODY: 87%POLYESTER 13%ELAST...</v>
          </cell>
          <cell r="F1452" t="str">
            <v>VN</v>
          </cell>
          <cell r="G1452" t="str">
            <v>Alosoft Relay Bra</v>
          </cell>
          <cell r="H1452">
            <v>10.95</v>
          </cell>
          <cell r="I1452">
            <v>30</v>
          </cell>
          <cell r="J1452">
            <v>328.5</v>
          </cell>
          <cell r="K1452" t="str">
            <v>6212.10.9020</v>
          </cell>
          <cell r="L1452" t="str">
            <v>6212.10.90.00.00</v>
          </cell>
        </row>
        <row r="1453">
          <cell r="B1453" t="str">
            <v>M6141R</v>
          </cell>
          <cell r="C1453" t="str">
            <v>Men's Shorts</v>
          </cell>
          <cell r="D1453" t="str">
            <v>Seashell Blue</v>
          </cell>
          <cell r="E1453" t="str">
            <v>SHELL: 92%POLYESTER 8%ELAST...</v>
          </cell>
          <cell r="F1453" t="str">
            <v>VN</v>
          </cell>
          <cell r="G1453" t="str">
            <v>5 Adapt Running Short</v>
          </cell>
          <cell r="H1453">
            <v>13.15</v>
          </cell>
          <cell r="I1453">
            <v>39</v>
          </cell>
          <cell r="J1453">
            <v>512.85</v>
          </cell>
          <cell r="K1453" t="str">
            <v>6203.43.9030</v>
          </cell>
          <cell r="L1453" t="str">
            <v>6203.43.19.00.00</v>
          </cell>
        </row>
        <row r="1454">
          <cell r="B1454" t="str">
            <v>A0305U</v>
          </cell>
          <cell r="C1454" t="str">
            <v>Accessory - Bags</v>
          </cell>
          <cell r="D1454" t="str">
            <v>Black</v>
          </cell>
          <cell r="E1454" t="str">
            <v>BODY: 100%POLYESTER&gt;MESH: 81...</v>
          </cell>
          <cell r="F1454" t="str">
            <v>CN</v>
          </cell>
          <cell r="G1454" t="str">
            <v>Stride Running Belt</v>
          </cell>
          <cell r="H1454">
            <v>13.38</v>
          </cell>
          <cell r="I1454">
            <v>105</v>
          </cell>
          <cell r="J1454">
            <v>1404.9</v>
          </cell>
          <cell r="K1454" t="str">
            <v>4202.92.3131</v>
          </cell>
          <cell r="L1454" t="str">
            <v>4202.92.98.90.00</v>
          </cell>
        </row>
        <row r="1455">
          <cell r="B1455" t="str">
            <v>M6145R</v>
          </cell>
          <cell r="C1455" t="str">
            <v>Men's Shorts</v>
          </cell>
          <cell r="D1455" t="str">
            <v>Black</v>
          </cell>
          <cell r="E1455" t="str">
            <v>88%COTTON 12%POLYESTER&gt;EXC...</v>
          </cell>
          <cell r="F1455" t="str">
            <v>CN</v>
          </cell>
          <cell r="G1455" t="str">
            <v>7'' Coastal Terry Short</v>
          </cell>
          <cell r="H1455">
            <v>16.37</v>
          </cell>
          <cell r="I1455">
            <v>16</v>
          </cell>
          <cell r="J1455">
            <v>261.92</v>
          </cell>
          <cell r="K1455" t="str">
            <v>6103.42.1050</v>
          </cell>
          <cell r="L1455" t="str">
            <v>6103.42.00.00.00</v>
          </cell>
        </row>
        <row r="1456">
          <cell r="B1456" t="str">
            <v>M6145R</v>
          </cell>
          <cell r="C1456" t="str">
            <v>Men's Shorts</v>
          </cell>
          <cell r="D1456" t="str">
            <v>Black</v>
          </cell>
          <cell r="E1456" t="str">
            <v>88%COTTON 12%POLYESTER&gt;EXC...</v>
          </cell>
          <cell r="F1456" t="str">
            <v>VN</v>
          </cell>
          <cell r="G1456" t="str">
            <v>7'' Coastal Terry Short</v>
          </cell>
          <cell r="H1456">
            <v>16.37</v>
          </cell>
          <cell r="I1456">
            <v>23</v>
          </cell>
          <cell r="J1456">
            <v>376.51</v>
          </cell>
          <cell r="K1456" t="str">
            <v>6103.42.1050</v>
          </cell>
          <cell r="L1456" t="str">
            <v>6103.42.00.00.00</v>
          </cell>
        </row>
        <row r="1457">
          <cell r="B1457" t="str">
            <v>W54175R</v>
          </cell>
          <cell r="C1457" t="str">
            <v>Women's Capris</v>
          </cell>
          <cell r="D1457" t="str">
            <v>Black</v>
          </cell>
          <cell r="E1457" t="str">
            <v>BODY: 77%POLYESTER 23%ELAST...</v>
          </cell>
          <cell r="F1457" t="str">
            <v>VN</v>
          </cell>
          <cell r="G1457" t="str">
            <v>Al Msh HW Divine Cpri</v>
          </cell>
          <cell r="H1457">
            <v>15.69</v>
          </cell>
          <cell r="I1457">
            <v>20</v>
          </cell>
          <cell r="J1457">
            <v>313.8</v>
          </cell>
          <cell r="K1457" t="str">
            <v>6104.63.2006</v>
          </cell>
          <cell r="L1457" t="str">
            <v>6115.22.00.00.00</v>
          </cell>
        </row>
        <row r="1458">
          <cell r="B1458" t="str">
            <v>M1235R</v>
          </cell>
          <cell r="C1458" t="str">
            <v>Men's Short Sleeve Tops</v>
          </cell>
          <cell r="D1458" t="str">
            <v>Black</v>
          </cell>
          <cell r="E1458" t="str">
            <v>88%COTTON 12%POLYESTER</v>
          </cell>
          <cell r="F1458" t="str">
            <v>AL</v>
          </cell>
          <cell r="G1458" t="str">
            <v>Coastal Terry Button Up</v>
          </cell>
          <cell r="H1458">
            <v>19.75</v>
          </cell>
          <cell r="I1458">
            <v>2</v>
          </cell>
          <cell r="J1458">
            <v>39.5</v>
          </cell>
          <cell r="K1458" t="str">
            <v>6105.10.0010</v>
          </cell>
          <cell r="L1458" t="str">
            <v>6105.10.00.00.00</v>
          </cell>
        </row>
        <row r="1459">
          <cell r="B1459" t="str">
            <v>M1235R</v>
          </cell>
          <cell r="C1459" t="str">
            <v>Men's Short Sleeve Tops</v>
          </cell>
          <cell r="D1459" t="str">
            <v>Black</v>
          </cell>
          <cell r="E1459" t="str">
            <v>88%COTTON 12%POLYESTER</v>
          </cell>
          <cell r="F1459" t="str">
            <v>VN</v>
          </cell>
          <cell r="G1459" t="str">
            <v>Coastal Terry Button Up</v>
          </cell>
          <cell r="H1459">
            <v>19.75</v>
          </cell>
          <cell r="I1459">
            <v>12</v>
          </cell>
          <cell r="J1459">
            <v>237</v>
          </cell>
          <cell r="K1459" t="str">
            <v>6105.10.0010</v>
          </cell>
          <cell r="L1459" t="str">
            <v>6105.10.00.00.00</v>
          </cell>
        </row>
        <row r="1460">
          <cell r="B1460" t="str">
            <v>W9802R</v>
          </cell>
          <cell r="C1460" t="str">
            <v>Women's Bras</v>
          </cell>
          <cell r="D1460" t="str">
            <v>Pink Quartz</v>
          </cell>
          <cell r="E1460" t="str">
            <v>BODY: 100%POLYESTER&gt;LINING: 9...</v>
          </cell>
          <cell r="F1460" t="str">
            <v>CN</v>
          </cell>
          <cell r="G1460" t="str">
            <v>Micro Plisse Game On Bra</v>
          </cell>
          <cell r="H1460">
            <v>14.3</v>
          </cell>
          <cell r="I1460">
            <v>9</v>
          </cell>
          <cell r="J1460">
            <v>128.69999999999999</v>
          </cell>
          <cell r="K1460" t="str">
            <v>6114.30.1020</v>
          </cell>
          <cell r="L1460" t="str">
            <v>6114.30.00.00.11</v>
          </cell>
        </row>
        <row r="1461">
          <cell r="B1461" t="str">
            <v>W9802R</v>
          </cell>
          <cell r="C1461" t="str">
            <v>Women's Bras</v>
          </cell>
          <cell r="D1461" t="str">
            <v>Pink Quartz</v>
          </cell>
          <cell r="E1461" t="str">
            <v>BODY: 100%POLYESTER&gt;LINING: 9...</v>
          </cell>
          <cell r="F1461" t="str">
            <v>VN</v>
          </cell>
          <cell r="G1461" t="str">
            <v>Micro Plisse Game On Bra</v>
          </cell>
          <cell r="H1461">
            <v>14.3</v>
          </cell>
          <cell r="I1461">
            <v>4</v>
          </cell>
          <cell r="J1461">
            <v>57.2</v>
          </cell>
          <cell r="K1461" t="str">
            <v>6114.30.1020</v>
          </cell>
          <cell r="L1461" t="str">
            <v>6114.30.00.00.11</v>
          </cell>
        </row>
        <row r="1462">
          <cell r="B1462" t="str">
            <v>M1257R</v>
          </cell>
          <cell r="C1462" t="str">
            <v>Men's Short Sleeve Tops</v>
          </cell>
          <cell r="D1462" t="str">
            <v>White</v>
          </cell>
          <cell r="E1462" t="str">
            <v>50%POLYESTER 25%COTTON 25%VISCOSE</v>
          </cell>
          <cell r="F1462" t="str">
            <v>NI</v>
          </cell>
          <cell r="G1462" t="str">
            <v>Triumph Tee</v>
          </cell>
          <cell r="H1462">
            <v>7.36</v>
          </cell>
          <cell r="I1462">
            <v>53</v>
          </cell>
          <cell r="J1462">
            <v>390.08</v>
          </cell>
          <cell r="K1462" t="str">
            <v>6109.90.1007</v>
          </cell>
          <cell r="L1462" t="str">
            <v>6109.90.90.00.00</v>
          </cell>
        </row>
        <row r="1463">
          <cell r="B1463" t="str">
            <v>M1257R</v>
          </cell>
          <cell r="C1463" t="str">
            <v>Men's Short Sleeve Tops</v>
          </cell>
          <cell r="D1463" t="str">
            <v>Black</v>
          </cell>
          <cell r="E1463" t="str">
            <v>50%POLYESTER 25%COTTON 25%VISCOSE</v>
          </cell>
          <cell r="F1463" t="str">
            <v>NI</v>
          </cell>
          <cell r="G1463" t="str">
            <v>Triumph Tee</v>
          </cell>
          <cell r="H1463">
            <v>7.83</v>
          </cell>
          <cell r="I1463">
            <v>109</v>
          </cell>
          <cell r="J1463">
            <v>853.47</v>
          </cell>
          <cell r="K1463" t="str">
            <v>6109.90.1007</v>
          </cell>
          <cell r="L1463" t="str">
            <v>6109.90.90.00.00</v>
          </cell>
        </row>
        <row r="1464">
          <cell r="B1464" t="str">
            <v>M1257R</v>
          </cell>
          <cell r="C1464" t="str">
            <v>Men's Short Sleeve Tops</v>
          </cell>
          <cell r="D1464" t="str">
            <v>Athletic Heather Grey</v>
          </cell>
          <cell r="E1464" t="str">
            <v>50%POLYESTER 25%COTTON 25%VISCOSE</v>
          </cell>
          <cell r="F1464" t="str">
            <v>NI</v>
          </cell>
          <cell r="G1464" t="str">
            <v>Triumph Tee</v>
          </cell>
          <cell r="H1464">
            <v>7.33</v>
          </cell>
          <cell r="I1464">
            <v>103</v>
          </cell>
          <cell r="J1464">
            <v>754.99</v>
          </cell>
          <cell r="K1464" t="str">
            <v>6109.90.1007</v>
          </cell>
          <cell r="L1464" t="str">
            <v>6109.90.90.00.00</v>
          </cell>
        </row>
        <row r="1465">
          <cell r="B1465" t="str">
            <v>M1257R</v>
          </cell>
          <cell r="C1465" t="str">
            <v>Men's Short Sleeve Tops</v>
          </cell>
          <cell r="D1465" t="str">
            <v>Gravel</v>
          </cell>
          <cell r="E1465" t="str">
            <v>50%POLYESTER 25%COTTON 25%VISCOSE</v>
          </cell>
          <cell r="F1465" t="str">
            <v>NI</v>
          </cell>
          <cell r="G1465" t="str">
            <v>Triumph Tee</v>
          </cell>
          <cell r="H1465">
            <v>7.83</v>
          </cell>
          <cell r="I1465">
            <v>59</v>
          </cell>
          <cell r="J1465">
            <v>461.97</v>
          </cell>
          <cell r="K1465" t="str">
            <v>6109.90.1007</v>
          </cell>
          <cell r="L1465" t="str">
            <v>6109.90.90.00.00</v>
          </cell>
        </row>
        <row r="1466">
          <cell r="B1466" t="str">
            <v>M1257R</v>
          </cell>
          <cell r="C1466" t="str">
            <v>Men's Short Sleeve Tops</v>
          </cell>
          <cell r="D1466" t="str">
            <v>Black</v>
          </cell>
          <cell r="E1466" t="str">
            <v>50%POLYESTER 25%COTTON 25%VISCOSE</v>
          </cell>
          <cell r="F1466" t="str">
            <v>NI</v>
          </cell>
          <cell r="G1466" t="str">
            <v>Triumph Tee</v>
          </cell>
          <cell r="H1466">
            <v>7.66</v>
          </cell>
          <cell r="I1466">
            <v>78</v>
          </cell>
          <cell r="J1466">
            <v>597.48</v>
          </cell>
          <cell r="K1466" t="str">
            <v>6109.90.1007</v>
          </cell>
          <cell r="L1466" t="str">
            <v>6109.90.90.00.00</v>
          </cell>
        </row>
        <row r="1467">
          <cell r="B1467" t="str">
            <v>W8321R</v>
          </cell>
          <cell r="C1467" t="str">
            <v>Women's Dresses</v>
          </cell>
          <cell r="D1467" t="str">
            <v>White</v>
          </cell>
          <cell r="E1467" t="str">
            <v>UPPER BODY: 81%NYLON 19%ELA...</v>
          </cell>
          <cell r="F1467" t="str">
            <v>VN</v>
          </cell>
          <cell r="G1467" t="str">
            <v>Ab Love Match Tennis Dress</v>
          </cell>
          <cell r="H1467">
            <v>28.19</v>
          </cell>
          <cell r="I1467">
            <v>27</v>
          </cell>
          <cell r="J1467">
            <v>761.13</v>
          </cell>
          <cell r="K1467" t="str">
            <v>6104.43.2010</v>
          </cell>
          <cell r="L1467" t="str">
            <v>6104.43.00.00.19</v>
          </cell>
        </row>
        <row r="1468">
          <cell r="B1468" t="str">
            <v>W6491R</v>
          </cell>
          <cell r="C1468" t="str">
            <v>Women's Skirts</v>
          </cell>
          <cell r="D1468" t="str">
            <v>Athletic Heather Grey/White</v>
          </cell>
          <cell r="E1468" t="str">
            <v>BODY: 87%POLYESTER 13%ELAST...</v>
          </cell>
          <cell r="F1468" t="str">
            <v>TW</v>
          </cell>
          <cell r="G1468" t="str">
            <v>Alosoft Better Together Tennis Skirt</v>
          </cell>
          <cell r="H1468">
            <v>12.32</v>
          </cell>
          <cell r="I1468">
            <v>26</v>
          </cell>
          <cell r="J1468">
            <v>320.32</v>
          </cell>
          <cell r="K1468" t="str">
            <v>6104.53.2010</v>
          </cell>
          <cell r="L1468" t="str">
            <v>6104.53.00.00.00</v>
          </cell>
        </row>
        <row r="1469">
          <cell r="B1469" t="str">
            <v>W6557R</v>
          </cell>
          <cell r="C1469" t="str">
            <v>Women's Skirts</v>
          </cell>
          <cell r="D1469" t="str">
            <v>Black/White</v>
          </cell>
          <cell r="E1469" t="str">
            <v>OUTER BODY: 87%NYLON 13%ELA...</v>
          </cell>
          <cell r="F1469" t="str">
            <v>TW</v>
          </cell>
          <cell r="G1469" t="str">
            <v>Ab Better Together Tennis Skir</v>
          </cell>
          <cell r="H1469">
            <v>12.74</v>
          </cell>
          <cell r="I1469">
            <v>48</v>
          </cell>
          <cell r="J1469">
            <v>611.52</v>
          </cell>
          <cell r="K1469" t="str">
            <v>6104.53.2010</v>
          </cell>
          <cell r="L1469" t="str">
            <v>6104.53.00.00.00</v>
          </cell>
        </row>
        <row r="1470">
          <cell r="B1470" t="str">
            <v>W6557R</v>
          </cell>
          <cell r="C1470" t="str">
            <v>Women's Skirts</v>
          </cell>
          <cell r="D1470" t="str">
            <v>Seashell Blue/White</v>
          </cell>
          <cell r="E1470" t="str">
            <v>OUTER BODY: 87%NYLON 13%ELA...</v>
          </cell>
          <cell r="F1470" t="str">
            <v>TW</v>
          </cell>
          <cell r="G1470" t="str">
            <v>Ab Better Together Tennis Skir</v>
          </cell>
          <cell r="H1470">
            <v>12.74</v>
          </cell>
          <cell r="I1470">
            <v>84</v>
          </cell>
          <cell r="J1470">
            <v>1070.1600000000001</v>
          </cell>
          <cell r="K1470" t="str">
            <v>6104.53.2010</v>
          </cell>
          <cell r="L1470" t="str">
            <v>6104.53.00.00.00</v>
          </cell>
        </row>
        <row r="1471">
          <cell r="B1471" t="str">
            <v>W54216R</v>
          </cell>
          <cell r="C1471" t="str">
            <v>Women's 7/8 Leggings</v>
          </cell>
          <cell r="D1471" t="str">
            <v>Athletic Heather Grey/White</v>
          </cell>
          <cell r="E1471" t="str">
            <v>BODY: 87%POLYESTER 13%ELAST...</v>
          </cell>
          <cell r="F1471" t="str">
            <v>TW</v>
          </cell>
          <cell r="G1471" t="str">
            <v>Alosoft Hw 7/8 Better Together</v>
          </cell>
          <cell r="H1471">
            <v>13.51</v>
          </cell>
          <cell r="I1471">
            <v>50</v>
          </cell>
          <cell r="J1471">
            <v>675.5</v>
          </cell>
          <cell r="K1471" t="str">
            <v>6104.63.2006</v>
          </cell>
          <cell r="L1471" t="str">
            <v>6115.22.00.00.00</v>
          </cell>
        </row>
        <row r="1472">
          <cell r="B1472" t="str">
            <v>W54309R</v>
          </cell>
          <cell r="C1472" t="str">
            <v>Women's 7/8 Leggings</v>
          </cell>
          <cell r="D1472" t="str">
            <v>Black/White</v>
          </cell>
          <cell r="E1472" t="str">
            <v>BODY: 87%NYLON 13%ELASTANE&gt;...</v>
          </cell>
          <cell r="F1472" t="str">
            <v>TW</v>
          </cell>
          <cell r="G1472" t="str">
            <v>Ab HW 7/8 Better Together Leg</v>
          </cell>
          <cell r="H1472">
            <v>14.02</v>
          </cell>
          <cell r="I1472">
            <v>68</v>
          </cell>
          <cell r="J1472">
            <v>953.36</v>
          </cell>
          <cell r="K1472" t="str">
            <v>6104.63.2006</v>
          </cell>
          <cell r="L1472" t="str">
            <v>6115.22.00.00.00</v>
          </cell>
        </row>
        <row r="1473">
          <cell r="B1473" t="str">
            <v>M4198R</v>
          </cell>
          <cell r="C1473" t="str">
            <v>Men's Outerwear</v>
          </cell>
          <cell r="D1473" t="str">
            <v>Black</v>
          </cell>
          <cell r="E1473" t="str">
            <v>BODY: 76%NYLON 24%POLYESTER...</v>
          </cell>
          <cell r="F1473" t="str">
            <v>KH</v>
          </cell>
          <cell r="G1473" t="str">
            <v>Game Time Ripstop Jacket</v>
          </cell>
          <cell r="H1473">
            <v>33.369999999999997</v>
          </cell>
          <cell r="I1473">
            <v>25</v>
          </cell>
          <cell r="J1473">
            <v>834.25</v>
          </cell>
          <cell r="K1473" t="str">
            <v>6201.40.7511</v>
          </cell>
          <cell r="L1473" t="str">
            <v>6201.40.90.00.12</v>
          </cell>
        </row>
        <row r="1474">
          <cell r="B1474" t="str">
            <v>M4198R</v>
          </cell>
          <cell r="C1474" t="str">
            <v>Men's Outerwear</v>
          </cell>
          <cell r="D1474" t="str">
            <v>Limestone</v>
          </cell>
          <cell r="E1474" t="str">
            <v>BODY: 76%NYLON 24%POLYESTER...</v>
          </cell>
          <cell r="F1474" t="str">
            <v>KH</v>
          </cell>
          <cell r="G1474" t="str">
            <v>Game Time Ripstop Jacket</v>
          </cell>
          <cell r="H1474">
            <v>33.369999999999997</v>
          </cell>
          <cell r="I1474">
            <v>22</v>
          </cell>
          <cell r="J1474">
            <v>734.14</v>
          </cell>
          <cell r="K1474" t="str">
            <v>6201.40.7511</v>
          </cell>
          <cell r="L1474" t="str">
            <v>6201.40.90.00.12</v>
          </cell>
        </row>
        <row r="1475">
          <cell r="B1475" t="str">
            <v>M6169R</v>
          </cell>
          <cell r="C1475" t="str">
            <v>Men's Shorts</v>
          </cell>
          <cell r="D1475" t="str">
            <v>Navy</v>
          </cell>
          <cell r="E1475" t="str">
            <v>BODY: 46%NYLON 39%POLYESTER...</v>
          </cell>
          <cell r="F1475" t="str">
            <v>VN</v>
          </cell>
          <cell r="G1475" t="str">
            <v>5" Traction Running Short</v>
          </cell>
          <cell r="H1475">
            <v>13.7</v>
          </cell>
          <cell r="I1475">
            <v>41</v>
          </cell>
          <cell r="J1475">
            <v>561.70000000000005</v>
          </cell>
          <cell r="K1475" t="str">
            <v>6203.43.9030</v>
          </cell>
          <cell r="L1475" t="str">
            <v>6203.43.19.00.00</v>
          </cell>
        </row>
        <row r="1476">
          <cell r="B1476" t="str">
            <v>W9853R</v>
          </cell>
          <cell r="C1476" t="str">
            <v>Women's Bras</v>
          </cell>
          <cell r="D1476" t="str">
            <v>Black</v>
          </cell>
          <cell r="E1476" t="str">
            <v>BODY: 77%POLYESTER 23%ELAST...</v>
          </cell>
          <cell r="F1476" t="str">
            <v>TW</v>
          </cell>
          <cell r="G1476" t="str">
            <v>Airlift Mesh Just Right Bra</v>
          </cell>
          <cell r="H1476">
            <v>10.01</v>
          </cell>
          <cell r="I1476">
            <v>60</v>
          </cell>
          <cell r="J1476">
            <v>600.6</v>
          </cell>
          <cell r="K1476" t="str">
            <v>6212.10.9020</v>
          </cell>
          <cell r="L1476" t="str">
            <v>6212.10.90.00.00</v>
          </cell>
        </row>
        <row r="1477">
          <cell r="B1477" t="str">
            <v>W9853R</v>
          </cell>
          <cell r="C1477" t="str">
            <v>Women's Bras</v>
          </cell>
          <cell r="D1477" t="str">
            <v>Taupe</v>
          </cell>
          <cell r="E1477" t="str">
            <v>BODY: 77%POLYESTER 23%ELAST...</v>
          </cell>
          <cell r="F1477" t="str">
            <v>TW</v>
          </cell>
          <cell r="G1477" t="str">
            <v>Airlift Mesh Just Right Bra</v>
          </cell>
          <cell r="H1477">
            <v>10.01</v>
          </cell>
          <cell r="I1477">
            <v>50</v>
          </cell>
          <cell r="J1477">
            <v>500.5</v>
          </cell>
          <cell r="K1477" t="str">
            <v>6212.10.9020</v>
          </cell>
          <cell r="L1477" t="str">
            <v>6212.10.90.00.00</v>
          </cell>
        </row>
        <row r="1478">
          <cell r="B1478" t="str">
            <v>W3875R</v>
          </cell>
          <cell r="C1478" t="str">
            <v>Women's Cover Ups</v>
          </cell>
          <cell r="D1478" t="str">
            <v>Ivory</v>
          </cell>
          <cell r="E1478" t="str">
            <v>BODY: 65%COTTON 35%POLYESTE...</v>
          </cell>
          <cell r="F1478" t="str">
            <v>VN</v>
          </cell>
          <cell r="G1478" t="str">
            <v>Cropped Serenity Coverup</v>
          </cell>
          <cell r="H1478">
            <v>11.94</v>
          </cell>
          <cell r="I1478">
            <v>52</v>
          </cell>
          <cell r="J1478">
            <v>620.88</v>
          </cell>
          <cell r="K1478" t="str">
            <v>6110.20.2079</v>
          </cell>
          <cell r="L1478" t="str">
            <v>6110.20.99.00.00</v>
          </cell>
        </row>
        <row r="1479">
          <cell r="B1479" t="str">
            <v>W6484R</v>
          </cell>
          <cell r="C1479" t="str">
            <v>Women's Skirts</v>
          </cell>
          <cell r="D1479" t="str">
            <v>White</v>
          </cell>
          <cell r="E1479" t="str">
            <v>SHELL: 87%POLYESTER 13%ELAST...</v>
          </cell>
          <cell r="F1479" t="str">
            <v>VN</v>
          </cell>
          <cell r="G1479" t="str">
            <v>Alosoft Serve It Up Skirt</v>
          </cell>
          <cell r="H1479">
            <v>16.43</v>
          </cell>
          <cell r="I1479">
            <v>16</v>
          </cell>
          <cell r="J1479">
            <v>262.88</v>
          </cell>
          <cell r="K1479" t="str">
            <v>6104.53.2010</v>
          </cell>
          <cell r="L1479" t="str">
            <v>6104.53.00.00.00</v>
          </cell>
        </row>
        <row r="1480">
          <cell r="B1480" t="str">
            <v>W6484R</v>
          </cell>
          <cell r="C1480" t="str">
            <v>Women's Skirts</v>
          </cell>
          <cell r="D1480" t="str">
            <v>Black</v>
          </cell>
          <cell r="E1480" t="str">
            <v>SHELL: 87%POLYESTER 13%ELAST...</v>
          </cell>
          <cell r="F1480" t="str">
            <v>VN</v>
          </cell>
          <cell r="G1480" t="str">
            <v>Alosoft Serve It Up Skirt</v>
          </cell>
          <cell r="H1480">
            <v>16.43</v>
          </cell>
          <cell r="I1480">
            <v>25</v>
          </cell>
          <cell r="J1480">
            <v>410.75</v>
          </cell>
          <cell r="K1480" t="str">
            <v>6104.53.2010</v>
          </cell>
          <cell r="L1480" t="str">
            <v>6104.53.00.00.00</v>
          </cell>
        </row>
        <row r="1481">
          <cell r="B1481" t="str">
            <v>W54197R</v>
          </cell>
          <cell r="C1481" t="str">
            <v>Women's Leggings</v>
          </cell>
          <cell r="D1481" t="str">
            <v>Black</v>
          </cell>
          <cell r="E1481" t="str">
            <v>BODY: 77%POLYESTER 23%ELAST...</v>
          </cell>
          <cell r="F1481" t="str">
            <v>TW</v>
          </cell>
          <cell r="G1481" t="str">
            <v>Al Msh HW Darling Stirrup Leg</v>
          </cell>
          <cell r="H1481">
            <v>11.54</v>
          </cell>
          <cell r="I1481">
            <v>60</v>
          </cell>
          <cell r="J1481">
            <v>692.4</v>
          </cell>
          <cell r="K1481" t="str">
            <v>6104.63.2006</v>
          </cell>
          <cell r="L1481" t="str">
            <v>6115.22.00.00.00</v>
          </cell>
        </row>
        <row r="1482">
          <cell r="B1482" t="str">
            <v>W54197R</v>
          </cell>
          <cell r="C1482" t="str">
            <v>Women's Leggings</v>
          </cell>
          <cell r="D1482" t="str">
            <v>Navy</v>
          </cell>
          <cell r="E1482" t="str">
            <v>BODY: 77%POLYESTER 23%ELAST...</v>
          </cell>
          <cell r="F1482" t="str">
            <v>TW</v>
          </cell>
          <cell r="G1482" t="str">
            <v>Al Msh HW Darling Stirrup Leg</v>
          </cell>
          <cell r="H1482">
            <v>11.54</v>
          </cell>
          <cell r="I1482">
            <v>43</v>
          </cell>
          <cell r="J1482">
            <v>496.22</v>
          </cell>
          <cell r="K1482" t="str">
            <v>6104.63.2006</v>
          </cell>
          <cell r="L1482" t="str">
            <v>6115.22.00.00.00</v>
          </cell>
        </row>
        <row r="1483">
          <cell r="B1483" t="str">
            <v>W9791R</v>
          </cell>
          <cell r="C1483" t="str">
            <v>Women's Bras</v>
          </cell>
          <cell r="D1483" t="str">
            <v>Black</v>
          </cell>
          <cell r="E1483" t="str">
            <v>BODY: 83%NYLON 17%ELASTANE&gt;...</v>
          </cell>
          <cell r="F1483" t="str">
            <v>VN</v>
          </cell>
          <cell r="G1483" t="str">
            <v>Mesh Dream Glow Bra</v>
          </cell>
          <cell r="H1483">
            <v>12.55</v>
          </cell>
          <cell r="I1483">
            <v>149</v>
          </cell>
          <cell r="J1483">
            <v>1869.95</v>
          </cell>
          <cell r="K1483" t="str">
            <v>6114.30.1020</v>
          </cell>
          <cell r="L1483" t="str">
            <v>6114.30.00.00.11</v>
          </cell>
        </row>
        <row r="1484">
          <cell r="B1484" t="str">
            <v>W4674R</v>
          </cell>
          <cell r="C1484" t="str">
            <v>Women's Outerwear</v>
          </cell>
          <cell r="D1484" t="str">
            <v>White</v>
          </cell>
          <cell r="E1484" t="str">
            <v>BODY: 76%NYLON 24%POLYESTER...</v>
          </cell>
          <cell r="F1484" t="str">
            <v>VN</v>
          </cell>
          <cell r="G1484" t="str">
            <v>Game Time Trench</v>
          </cell>
          <cell r="H1484">
            <v>63.9</v>
          </cell>
          <cell r="I1484">
            <v>16</v>
          </cell>
          <cell r="J1484">
            <v>1022.4</v>
          </cell>
          <cell r="K1484" t="str">
            <v>6202.40.2020</v>
          </cell>
          <cell r="L1484" t="str">
            <v>6202.40.10.00.11</v>
          </cell>
        </row>
        <row r="1485">
          <cell r="B1485" t="str">
            <v>W4674R</v>
          </cell>
          <cell r="C1485" t="str">
            <v>Women's Outerwear</v>
          </cell>
          <cell r="D1485" t="str">
            <v>Black</v>
          </cell>
          <cell r="E1485" t="str">
            <v>BODY: 76%NYLON 24%POLYESTER...</v>
          </cell>
          <cell r="F1485" t="str">
            <v>VN</v>
          </cell>
          <cell r="G1485" t="str">
            <v>Game Time Trench</v>
          </cell>
          <cell r="H1485">
            <v>63.9</v>
          </cell>
          <cell r="I1485">
            <v>19</v>
          </cell>
          <cell r="J1485">
            <v>1214.0999999999999</v>
          </cell>
          <cell r="K1485" t="str">
            <v>6202.40.2020</v>
          </cell>
          <cell r="L1485" t="str">
            <v>6202.40.10.00.11</v>
          </cell>
        </row>
        <row r="1486">
          <cell r="B1486" t="str">
            <v>W4663R</v>
          </cell>
          <cell r="C1486" t="str">
            <v>Women's Outerwear</v>
          </cell>
          <cell r="D1486" t="str">
            <v>Black</v>
          </cell>
          <cell r="E1486" t="str">
            <v>BODY: 100%NYLON&gt;MESH: 95%PO...</v>
          </cell>
          <cell r="F1486" t="str">
            <v>VN</v>
          </cell>
          <cell r="G1486" t="str">
            <v>Cropped Air It Out Bomber</v>
          </cell>
          <cell r="H1486">
            <v>14.35</v>
          </cell>
          <cell r="I1486">
            <v>40</v>
          </cell>
          <cell r="J1486">
            <v>574</v>
          </cell>
          <cell r="K1486" t="str">
            <v>6202.40.7511</v>
          </cell>
          <cell r="L1486" t="str">
            <v>6202.40.10.00.11</v>
          </cell>
        </row>
        <row r="1487">
          <cell r="B1487" t="str">
            <v>W4663R</v>
          </cell>
          <cell r="C1487" t="str">
            <v>Women's Outerwear</v>
          </cell>
          <cell r="D1487" t="str">
            <v>Taupe</v>
          </cell>
          <cell r="E1487" t="str">
            <v>BODY: 100%NYLON&gt;MESH: 95%PO...</v>
          </cell>
          <cell r="F1487" t="str">
            <v>VN</v>
          </cell>
          <cell r="G1487" t="str">
            <v>Cropped Air It Out Bomber</v>
          </cell>
          <cell r="H1487">
            <v>14.35</v>
          </cell>
          <cell r="I1487">
            <v>53</v>
          </cell>
          <cell r="J1487">
            <v>760.55</v>
          </cell>
          <cell r="K1487" t="str">
            <v>6202.40.7511</v>
          </cell>
          <cell r="L1487" t="str">
            <v>6202.40.10.00.11</v>
          </cell>
        </row>
        <row r="1488">
          <cell r="B1488" t="str">
            <v>W4679R</v>
          </cell>
          <cell r="C1488" t="str">
            <v>Women's Outerwear</v>
          </cell>
          <cell r="D1488" t="str">
            <v>White</v>
          </cell>
          <cell r="E1488" t="str">
            <v>76%NYLON 24%POLYESTER</v>
          </cell>
          <cell r="F1488" t="str">
            <v>VN</v>
          </cell>
          <cell r="G1488" t="str">
            <v>Crpd Game Time Full Zip Jkt</v>
          </cell>
          <cell r="H1488">
            <v>43.41</v>
          </cell>
          <cell r="I1488">
            <v>17</v>
          </cell>
          <cell r="J1488">
            <v>737.97</v>
          </cell>
          <cell r="K1488" t="str">
            <v>6202.40.7511</v>
          </cell>
          <cell r="L1488" t="str">
            <v>6202.40.10.00.11</v>
          </cell>
        </row>
        <row r="1489">
          <cell r="B1489" t="str">
            <v>W54212R</v>
          </cell>
          <cell r="C1489" t="str">
            <v>Women's Other Bottoms</v>
          </cell>
          <cell r="D1489" t="str">
            <v>White</v>
          </cell>
          <cell r="E1489" t="str">
            <v>BODY: 76%NYLON 24%POLYESTER...</v>
          </cell>
          <cell r="F1489" t="str">
            <v>ID</v>
          </cell>
          <cell r="G1489" t="str">
            <v>Sheer Gme Time Wide Leg Jogger</v>
          </cell>
          <cell r="H1489">
            <v>31.88</v>
          </cell>
          <cell r="I1489">
            <v>16</v>
          </cell>
          <cell r="J1489">
            <v>510.08</v>
          </cell>
          <cell r="K1489" t="str">
            <v>6204.63.9011</v>
          </cell>
          <cell r="L1489" t="str">
            <v>6204.63.18.00.00</v>
          </cell>
        </row>
        <row r="1490">
          <cell r="B1490" t="str">
            <v>W54212R</v>
          </cell>
          <cell r="C1490" t="str">
            <v>Women's Other Bottoms</v>
          </cell>
          <cell r="D1490" t="str">
            <v>Black</v>
          </cell>
          <cell r="E1490" t="str">
            <v>BODY: 76%NYLON 24%POLYESTER...</v>
          </cell>
          <cell r="F1490" t="str">
            <v>VN</v>
          </cell>
          <cell r="G1490" t="str">
            <v>Sheer Gme Time Wide Leg Jogger</v>
          </cell>
          <cell r="H1490">
            <v>31.86</v>
          </cell>
          <cell r="I1490">
            <v>22</v>
          </cell>
          <cell r="J1490">
            <v>700.92</v>
          </cell>
          <cell r="K1490" t="str">
            <v>6204.63.9011</v>
          </cell>
          <cell r="L1490" t="str">
            <v>6204.63.18.00.00</v>
          </cell>
        </row>
        <row r="1491">
          <cell r="B1491" t="str">
            <v>W54251R</v>
          </cell>
          <cell r="C1491" t="str">
            <v>Women's Other Bottoms</v>
          </cell>
          <cell r="D1491" t="str">
            <v>Black</v>
          </cell>
          <cell r="E1491" t="str">
            <v>88%POLYESTER 12%ELASTANE</v>
          </cell>
          <cell r="F1491" t="str">
            <v>ID</v>
          </cell>
          <cell r="G1491" t="str">
            <v>Dreamscape Cargo Wide Leg Pant</v>
          </cell>
          <cell r="H1491">
            <v>23.09</v>
          </cell>
          <cell r="I1491">
            <v>160</v>
          </cell>
          <cell r="J1491">
            <v>3694.4</v>
          </cell>
          <cell r="K1491" t="str">
            <v>6204.63.9011</v>
          </cell>
          <cell r="L1491" t="str">
            <v>6204.63.18.00.00</v>
          </cell>
        </row>
        <row r="1492">
          <cell r="B1492" t="str">
            <v>W54251R</v>
          </cell>
          <cell r="C1492" t="str">
            <v>Women's Other Bottoms</v>
          </cell>
          <cell r="D1492" t="str">
            <v>Taupe</v>
          </cell>
          <cell r="E1492" t="str">
            <v>88%POLYESTER 12%ELASTANE</v>
          </cell>
          <cell r="F1492" t="str">
            <v>ID</v>
          </cell>
          <cell r="G1492" t="str">
            <v>Dreamscape Cargo Wide Leg Pant</v>
          </cell>
          <cell r="H1492">
            <v>23.09</v>
          </cell>
          <cell r="I1492">
            <v>113</v>
          </cell>
          <cell r="J1492">
            <v>2609.17</v>
          </cell>
          <cell r="K1492" t="str">
            <v>6204.63.9011</v>
          </cell>
          <cell r="L1492" t="str">
            <v>6204.63.18.00.00</v>
          </cell>
        </row>
        <row r="1493">
          <cell r="B1493" t="str">
            <v>W6500R</v>
          </cell>
          <cell r="C1493" t="str">
            <v>Women's Shorts</v>
          </cell>
          <cell r="D1493" t="str">
            <v>Black</v>
          </cell>
          <cell r="E1493" t="str">
            <v>OUTER BODY: 76%NYLON 24%POL...</v>
          </cell>
          <cell r="F1493" t="str">
            <v>KH</v>
          </cell>
          <cell r="G1493" t="str">
            <v>Game Time Short</v>
          </cell>
          <cell r="H1493">
            <v>10.130000000000001</v>
          </cell>
          <cell r="I1493">
            <v>46</v>
          </cell>
          <cell r="J1493">
            <v>465.98</v>
          </cell>
          <cell r="K1493" t="str">
            <v>6204.63.9032</v>
          </cell>
          <cell r="L1493" t="str">
            <v>6204.63.18.00.00</v>
          </cell>
        </row>
        <row r="1494">
          <cell r="B1494" t="str">
            <v>W6500R</v>
          </cell>
          <cell r="C1494" t="str">
            <v>Women's Shorts</v>
          </cell>
          <cell r="D1494" t="str">
            <v>Neon Bubblegum</v>
          </cell>
          <cell r="E1494" t="str">
            <v>OUTER BODY: 76%NYLON 24%POL...</v>
          </cell>
          <cell r="F1494" t="str">
            <v>KH</v>
          </cell>
          <cell r="G1494" t="str">
            <v>Game Time Short</v>
          </cell>
          <cell r="H1494">
            <v>11.75</v>
          </cell>
          <cell r="I1494">
            <v>25</v>
          </cell>
          <cell r="J1494">
            <v>293.75</v>
          </cell>
          <cell r="K1494" t="str">
            <v>6204.63.9032</v>
          </cell>
          <cell r="L1494" t="str">
            <v>6204.63.18.00.00</v>
          </cell>
        </row>
        <row r="1495">
          <cell r="B1495" t="str">
            <v>W9837R</v>
          </cell>
          <cell r="C1495" t="str">
            <v>Women's Bras</v>
          </cell>
          <cell r="D1495" t="str">
            <v>Athletic Heather Grey/White</v>
          </cell>
          <cell r="E1495" t="str">
            <v>OUTER BODY: 94%POLYESTER 6%...</v>
          </cell>
          <cell r="F1495" t="str">
            <v>TW</v>
          </cell>
          <cell r="G1495" t="str">
            <v>Alosoft Better Together Bra</v>
          </cell>
          <cell r="H1495">
            <v>15.8</v>
          </cell>
          <cell r="I1495">
            <v>40</v>
          </cell>
          <cell r="J1495">
            <v>632</v>
          </cell>
          <cell r="K1495" t="str">
            <v>6212.10.9020</v>
          </cell>
          <cell r="L1495" t="str">
            <v>6212.10.90.00.00</v>
          </cell>
        </row>
        <row r="1496">
          <cell r="B1496" t="str">
            <v>W9918R</v>
          </cell>
          <cell r="C1496" t="str">
            <v>Women's Bras</v>
          </cell>
          <cell r="D1496" t="str">
            <v>Black/White</v>
          </cell>
          <cell r="E1496" t="str">
            <v>BODY: 87%NYLON 13%ELASTANE&gt;...</v>
          </cell>
          <cell r="F1496" t="str">
            <v>TW</v>
          </cell>
          <cell r="G1496" t="str">
            <v>Airbrush Better Together Bra</v>
          </cell>
          <cell r="H1496">
            <v>16.04</v>
          </cell>
          <cell r="I1496">
            <v>68</v>
          </cell>
          <cell r="J1496">
            <v>1090.72</v>
          </cell>
          <cell r="K1496" t="str">
            <v>6212.10.9020</v>
          </cell>
          <cell r="L1496" t="str">
            <v>6212.10.90.00.00</v>
          </cell>
        </row>
        <row r="1497">
          <cell r="B1497" t="str">
            <v>U4012R</v>
          </cell>
          <cell r="C1497" t="str">
            <v>Unisex Outerwear</v>
          </cell>
          <cell r="D1497" t="str">
            <v>Black</v>
          </cell>
          <cell r="E1497" t="str">
            <v>FAUX SHERPA SHELL: 100%POLYE...</v>
          </cell>
          <cell r="F1497" t="str">
            <v>VN</v>
          </cell>
          <cell r="G1497" t="str">
            <v>Sherpa Trench</v>
          </cell>
          <cell r="H1497">
            <v>41.33</v>
          </cell>
          <cell r="I1497">
            <v>90</v>
          </cell>
          <cell r="J1497">
            <v>3719.7</v>
          </cell>
          <cell r="K1497" t="str">
            <v>6102.30.2010</v>
          </cell>
          <cell r="L1497" t="str">
            <v>6102.30.10.00.00</v>
          </cell>
        </row>
        <row r="1498">
          <cell r="B1498" t="str">
            <v>M6172R</v>
          </cell>
          <cell r="C1498" t="str">
            <v>Men's Shorts</v>
          </cell>
          <cell r="D1498" t="str">
            <v>Black/Black</v>
          </cell>
          <cell r="E1498" t="str">
            <v>OUTER BODY: 76%NYLON 24%POL...</v>
          </cell>
          <cell r="F1498" t="str">
            <v>VN</v>
          </cell>
          <cell r="G1498" t="str">
            <v>5'' Game Time Ripstop 2-In-1 Sh</v>
          </cell>
          <cell r="H1498">
            <v>18.34</v>
          </cell>
          <cell r="I1498">
            <v>28</v>
          </cell>
          <cell r="J1498">
            <v>513.52</v>
          </cell>
          <cell r="K1498" t="str">
            <v>6203.43.9030</v>
          </cell>
          <cell r="L1498" t="str">
            <v>6203.43.19.00.00</v>
          </cell>
        </row>
        <row r="1499">
          <cell r="B1499" t="str">
            <v>M6172R</v>
          </cell>
          <cell r="C1499" t="str">
            <v>Men's Shorts</v>
          </cell>
          <cell r="D1499" t="str">
            <v>Limestone/Black</v>
          </cell>
          <cell r="E1499" t="str">
            <v>OUTER BODY: 76%NYLON 24%POL...</v>
          </cell>
          <cell r="F1499" t="str">
            <v>VN</v>
          </cell>
          <cell r="G1499" t="str">
            <v>5'' Game Time Ripstop 2-In-1 Sh</v>
          </cell>
          <cell r="H1499">
            <v>18.34</v>
          </cell>
          <cell r="I1499">
            <v>31</v>
          </cell>
          <cell r="J1499">
            <v>568.54</v>
          </cell>
          <cell r="K1499" t="str">
            <v>6203.43.9030</v>
          </cell>
          <cell r="L1499" t="str">
            <v>6203.43.19.00.00</v>
          </cell>
        </row>
        <row r="1500">
          <cell r="B1500" t="str">
            <v>AMJYCW1060</v>
          </cell>
          <cell r="C1500" t="str">
            <v>Jersey</v>
          </cell>
          <cell r="D1500" t="str">
            <v>Black</v>
          </cell>
          <cell r="E1500" t="str">
            <v>100% COTTON</v>
          </cell>
          <cell r="F1500" t="str">
            <v>IT</v>
          </cell>
          <cell r="H1500">
            <v>89.02</v>
          </cell>
          <cell r="I1500">
            <v>4</v>
          </cell>
          <cell r="J1500">
            <v>356.08</v>
          </cell>
          <cell r="K1500">
            <v>6109100012</v>
          </cell>
          <cell r="L1500" t="str">
            <v>6109.10.00.00.00</v>
          </cell>
        </row>
        <row r="1501">
          <cell r="B1501" t="str">
            <v>AMJYTE1157</v>
          </cell>
          <cell r="C1501" t="str">
            <v>Jersey</v>
          </cell>
          <cell r="D1501" t="str">
            <v>Black</v>
          </cell>
          <cell r="E1501" t="str">
            <v>100% COTTON</v>
          </cell>
          <cell r="F1501" t="str">
            <v>IT</v>
          </cell>
          <cell r="H1501">
            <v>35.630000000000003</v>
          </cell>
          <cell r="I1501">
            <v>6</v>
          </cell>
          <cell r="J1501">
            <v>213.78</v>
          </cell>
          <cell r="K1501">
            <v>6109100012</v>
          </cell>
          <cell r="L1501" t="str">
            <v>6109.10.00.00.00</v>
          </cell>
        </row>
        <row r="1502">
          <cell r="B1502" t="str">
            <v>AMJYTE1157</v>
          </cell>
          <cell r="C1502" t="str">
            <v>Jersey</v>
          </cell>
          <cell r="D1502" t="str">
            <v>Black</v>
          </cell>
          <cell r="E1502" t="str">
            <v>100% COTTON</v>
          </cell>
          <cell r="F1502" t="str">
            <v>IT</v>
          </cell>
          <cell r="H1502">
            <v>37.5</v>
          </cell>
          <cell r="I1502">
            <v>4</v>
          </cell>
          <cell r="J1502">
            <v>150</v>
          </cell>
          <cell r="K1502">
            <v>6109100012</v>
          </cell>
          <cell r="L1502" t="str">
            <v>6109.10.00.00.00</v>
          </cell>
        </row>
        <row r="1503">
          <cell r="B1503" t="str">
            <v>PF23MKL033</v>
          </cell>
          <cell r="C1503" t="str">
            <v>Knitwear</v>
          </cell>
          <cell r="D1503" t="str">
            <v>Black</v>
          </cell>
          <cell r="E1503" t="str">
            <v>80% MERINO WOOL 20% SILK</v>
          </cell>
          <cell r="F1503" t="str">
            <v>IT</v>
          </cell>
          <cell r="H1503">
            <v>21.85</v>
          </cell>
          <cell r="I1503">
            <v>2</v>
          </cell>
          <cell r="J1503">
            <v>43.7</v>
          </cell>
          <cell r="K1503">
            <v>6110110015</v>
          </cell>
          <cell r="L1503" t="str">
            <v>6110.11.10.00.00</v>
          </cell>
        </row>
        <row r="1504">
          <cell r="B1504" t="str">
            <v>PF23MKL033</v>
          </cell>
          <cell r="C1504" t="str">
            <v>Knitwear</v>
          </cell>
          <cell r="D1504" t="str">
            <v>Black</v>
          </cell>
          <cell r="E1504" t="str">
            <v>80% MERINO WOOL 20% SILK</v>
          </cell>
          <cell r="F1504" t="str">
            <v>IT</v>
          </cell>
          <cell r="H1504">
            <v>37.82</v>
          </cell>
          <cell r="I1504">
            <v>2</v>
          </cell>
          <cell r="J1504">
            <v>75.64</v>
          </cell>
          <cell r="K1504">
            <v>6110110015</v>
          </cell>
          <cell r="L1504" t="str">
            <v>6110.11.10.00.00</v>
          </cell>
        </row>
        <row r="1505">
          <cell r="B1505" t="str">
            <v>AWJYTE1046</v>
          </cell>
          <cell r="C1505" t="str">
            <v>Jersey</v>
          </cell>
          <cell r="D1505" t="str">
            <v>Black</v>
          </cell>
          <cell r="E1505" t="str">
            <v>100% COTTON</v>
          </cell>
          <cell r="F1505" t="str">
            <v>IT</v>
          </cell>
          <cell r="H1505">
            <v>23.9</v>
          </cell>
          <cell r="I1505">
            <v>2</v>
          </cell>
          <cell r="J1505">
            <v>47.8</v>
          </cell>
          <cell r="K1505">
            <v>6110110080</v>
          </cell>
          <cell r="L1505" t="str">
            <v>6110.20.10.00.00</v>
          </cell>
        </row>
        <row r="1506">
          <cell r="B1506" t="str">
            <v>AWKNCW1023</v>
          </cell>
          <cell r="C1506" t="str">
            <v>Knitwear</v>
          </cell>
          <cell r="D1506" t="str">
            <v>Black</v>
          </cell>
          <cell r="E1506" t="str">
            <v>70% SUPERFINE MERINO WOOL, 30% CASHMERE</v>
          </cell>
          <cell r="F1506" t="str">
            <v>IT</v>
          </cell>
          <cell r="H1506">
            <v>158</v>
          </cell>
          <cell r="I1506">
            <v>2</v>
          </cell>
          <cell r="J1506">
            <v>316</v>
          </cell>
          <cell r="K1506">
            <v>6110110080</v>
          </cell>
          <cell r="L1506" t="str">
            <v>6110.11.10.00.00</v>
          </cell>
        </row>
        <row r="1507">
          <cell r="B1507" t="str">
            <v>AWKNTT1017</v>
          </cell>
          <cell r="C1507" t="str">
            <v>Knitwear</v>
          </cell>
          <cell r="D1507" t="str">
            <v>Black</v>
          </cell>
          <cell r="E1507" t="str">
            <v>70% WO 20% SE 10% WS</v>
          </cell>
          <cell r="F1507" t="str">
            <v>IT</v>
          </cell>
          <cell r="H1507">
            <v>115</v>
          </cell>
          <cell r="I1507">
            <v>2</v>
          </cell>
          <cell r="J1507">
            <v>230</v>
          </cell>
          <cell r="K1507">
            <v>6110110080</v>
          </cell>
          <cell r="L1507" t="str">
            <v>6110.11.10.00.00</v>
          </cell>
        </row>
        <row r="1508">
          <cell r="B1508" t="str">
            <v>PXMAW001</v>
          </cell>
          <cell r="C1508" t="str">
            <v>Pants</v>
          </cell>
          <cell r="D1508" t="str">
            <v>Black</v>
          </cell>
          <cell r="E1508" t="str">
            <v>100%WOOL, LINING: 100% VISCOSE</v>
          </cell>
          <cell r="F1508" t="str">
            <v>IT</v>
          </cell>
          <cell r="H1508">
            <v>169.43</v>
          </cell>
          <cell r="I1508">
            <v>2</v>
          </cell>
          <cell r="J1508">
            <v>338.86</v>
          </cell>
          <cell r="K1508">
            <v>6203410000</v>
          </cell>
          <cell r="L1508" t="str">
            <v>6203.41.10.00.00</v>
          </cell>
        </row>
        <row r="1509">
          <cell r="B1509" t="str">
            <v>AWSUAP1008</v>
          </cell>
          <cell r="C1509" t="str">
            <v>Suits</v>
          </cell>
          <cell r="D1509" t="str">
            <v>Black</v>
          </cell>
          <cell r="E1509" t="str">
            <v>52%PES 42%WV (RWS) 6%EA</v>
          </cell>
          <cell r="F1509" t="str">
            <v>IT</v>
          </cell>
          <cell r="H1509">
            <v>114.45</v>
          </cell>
          <cell r="I1509">
            <v>2</v>
          </cell>
          <cell r="J1509">
            <v>228.9</v>
          </cell>
          <cell r="K1509">
            <v>6203416010</v>
          </cell>
          <cell r="L1509" t="str">
            <v>6203.41.10.00.00</v>
          </cell>
        </row>
        <row r="1510">
          <cell r="B1510" t="str">
            <v>PXMFS002</v>
          </cell>
          <cell r="C1510" t="str">
            <v>Footwear</v>
          </cell>
          <cell r="D1510" t="str">
            <v>Black/White</v>
          </cell>
          <cell r="E1510" t="str">
            <v>UPPER : 100% COW LEATHER /UPPER : 100% POLYESTER LINING:100% POLYESTER MESH /OUTSOLE : 100% Rubber</v>
          </cell>
          <cell r="F1510" t="str">
            <v>CN</v>
          </cell>
          <cell r="H1510">
            <v>77.569999999999993</v>
          </cell>
          <cell r="I1510">
            <v>2</v>
          </cell>
          <cell r="J1510">
            <v>155.13999999999999</v>
          </cell>
          <cell r="K1510">
            <v>6403996040</v>
          </cell>
          <cell r="L1510" t="str">
            <v>6403.99.93.00.00</v>
          </cell>
        </row>
        <row r="1511">
          <cell r="B1511" t="str">
            <v>PXMFS002</v>
          </cell>
          <cell r="C1511" t="str">
            <v>Footwear</v>
          </cell>
          <cell r="D1511" t="str">
            <v>Black/White</v>
          </cell>
          <cell r="E1511" t="str">
            <v>UPPER : 100% COW LEATHER /UPPER : 100% POLYESTER LINING:100% POLYESTER MESH /OUTSOLE : 100% Rubber</v>
          </cell>
          <cell r="F1511" t="str">
            <v>CN</v>
          </cell>
          <cell r="H1511">
            <v>79.66</v>
          </cell>
          <cell r="I1511">
            <v>2</v>
          </cell>
          <cell r="J1511">
            <v>159.32</v>
          </cell>
          <cell r="K1511">
            <v>6403996040</v>
          </cell>
          <cell r="L1511" t="str">
            <v>6403.99.93.00.00</v>
          </cell>
        </row>
        <row r="1512">
          <cell r="B1512" t="str">
            <v>AMHACP1060</v>
          </cell>
          <cell r="C1512" t="str">
            <v>Headwear</v>
          </cell>
          <cell r="D1512" t="str">
            <v>Black/Blue</v>
          </cell>
          <cell r="E1512" t="str">
            <v>100% COTTON</v>
          </cell>
          <cell r="F1512" t="str">
            <v>US</v>
          </cell>
          <cell r="H1512">
            <v>37.07</v>
          </cell>
          <cell r="I1512">
            <v>3</v>
          </cell>
          <cell r="J1512">
            <v>111.2</v>
          </cell>
          <cell r="K1512">
            <v>6505002590</v>
          </cell>
          <cell r="L1512" t="str">
            <v>6505.00.30.00.00</v>
          </cell>
        </row>
        <row r="1513">
          <cell r="B1513" t="str">
            <v>AMHATR1026</v>
          </cell>
          <cell r="C1513" t="str">
            <v>Headwear</v>
          </cell>
          <cell r="D1513" t="str">
            <v>Black</v>
          </cell>
          <cell r="E1513" t="str">
            <v>100% COTTON</v>
          </cell>
          <cell r="F1513" t="str">
            <v>US</v>
          </cell>
          <cell r="H1513">
            <v>49.06</v>
          </cell>
          <cell r="I1513">
            <v>3</v>
          </cell>
          <cell r="J1513">
            <v>147.16999999999999</v>
          </cell>
          <cell r="K1513">
            <v>6505002590</v>
          </cell>
          <cell r="L1513" t="str">
            <v>6505.00.30.00.00</v>
          </cell>
        </row>
        <row r="1514">
          <cell r="B1514" t="str">
            <v>AMFOSR1048</v>
          </cell>
          <cell r="C1514" t="str">
            <v>Footwear</v>
          </cell>
          <cell r="D1514" t="str">
            <v>Black</v>
          </cell>
          <cell r="E1514" t="str">
            <v>UPPER :100% BOVINE LEATHER, LNING: 80% COTTON+20% POLYESTER FOOTBED:100% POLYESTER, Outsole:100% RUBBER</v>
          </cell>
          <cell r="F1514" t="str">
            <v>VN</v>
          </cell>
          <cell r="H1514">
            <v>100.43</v>
          </cell>
          <cell r="I1514">
            <v>4</v>
          </cell>
          <cell r="J1514">
            <v>401.73</v>
          </cell>
          <cell r="K1514">
            <v>6403996040</v>
          </cell>
          <cell r="L1514" t="str">
            <v>6403.99.93.00.00</v>
          </cell>
        </row>
        <row r="1515">
          <cell r="B1515" t="str">
            <v>AMFOSR1048</v>
          </cell>
          <cell r="C1515" t="str">
            <v>Footwear</v>
          </cell>
          <cell r="D1515" t="str">
            <v>White Black</v>
          </cell>
          <cell r="E1515" t="str">
            <v>UPPER :100% BOVINE LEATHER, LNING: 80% COTTON+20% POLYESTER FOOTBED:100% POLYESTER, Outsole:100% RUBBER</v>
          </cell>
          <cell r="F1515" t="str">
            <v>VN</v>
          </cell>
          <cell r="H1515">
            <v>102.06</v>
          </cell>
          <cell r="I1515">
            <v>6</v>
          </cell>
          <cell r="J1515">
            <v>612.36</v>
          </cell>
          <cell r="K1515">
            <v>6403996040</v>
          </cell>
          <cell r="L1515" t="str">
            <v>6403.99.93.00.00</v>
          </cell>
        </row>
        <row r="1516">
          <cell r="B1516" t="str">
            <v>ALOTOP</v>
          </cell>
          <cell r="C1516" t="str">
            <v>Accessory</v>
          </cell>
          <cell r="D1516" t="str">
            <v>Black</v>
          </cell>
          <cell r="E1516" t="str">
            <v>100% WOODEN</v>
          </cell>
          <cell r="F1516" t="str">
            <v>CN</v>
          </cell>
          <cell r="H1516">
            <v>1.1000000000000001</v>
          </cell>
          <cell r="I1516">
            <v>4000</v>
          </cell>
          <cell r="J1516">
            <v>4400</v>
          </cell>
          <cell r="K1516">
            <v>44211000</v>
          </cell>
          <cell r="L1516" t="str">
            <v>4421.10.00.00.00</v>
          </cell>
        </row>
        <row r="1517">
          <cell r="B1517" t="str">
            <v>ALOSUIT</v>
          </cell>
          <cell r="C1517" t="str">
            <v>Accessory</v>
          </cell>
          <cell r="D1517" t="str">
            <v>Black</v>
          </cell>
          <cell r="E1517" t="str">
            <v>100% WOODEN</v>
          </cell>
          <cell r="F1517" t="str">
            <v>IT</v>
          </cell>
          <cell r="H1517">
            <v>1.65</v>
          </cell>
          <cell r="I1517">
            <v>4000</v>
          </cell>
          <cell r="J1517">
            <v>6600</v>
          </cell>
          <cell r="K1517">
            <v>6109100012</v>
          </cell>
          <cell r="L1517" t="str">
            <v>4421.10.00.00.00</v>
          </cell>
        </row>
        <row r="1518">
          <cell r="B1518" t="str">
            <v>W54211R</v>
          </cell>
          <cell r="C1518" t="str">
            <v>Women's Other Bottoms</v>
          </cell>
          <cell r="D1518" t="str">
            <v>Black</v>
          </cell>
          <cell r="E1518" t="str">
            <v>93%MODAL 7%ELASTANE</v>
          </cell>
          <cell r="F1518" t="str">
            <v>VN</v>
          </cell>
          <cell r="G1518" t="str">
            <v>Ss Delicate Lounge Flare Pant</v>
          </cell>
          <cell r="H1518">
            <v>20.14</v>
          </cell>
          <cell r="I1518">
            <v>38</v>
          </cell>
          <cell r="J1518">
            <v>765.32</v>
          </cell>
          <cell r="K1518" t="str">
            <v>6104.63.2006</v>
          </cell>
          <cell r="L1518" t="str">
            <v>6115.22.00.00.00</v>
          </cell>
        </row>
        <row r="1519">
          <cell r="B1519" t="str">
            <v>W54211R</v>
          </cell>
          <cell r="C1519" t="str">
            <v>Women's Other Bottoms</v>
          </cell>
          <cell r="D1519" t="str">
            <v>Taupe</v>
          </cell>
          <cell r="E1519" t="str">
            <v>93%MODAL 7%ELASTANE</v>
          </cell>
          <cell r="F1519" t="str">
            <v>VN</v>
          </cell>
          <cell r="G1519" t="str">
            <v>Ss Delicate Lounge Flare Pant</v>
          </cell>
          <cell r="H1519">
            <v>18.59</v>
          </cell>
          <cell r="I1519">
            <v>35</v>
          </cell>
          <cell r="J1519">
            <v>650.65</v>
          </cell>
          <cell r="K1519" t="str">
            <v>6104.63.2006</v>
          </cell>
          <cell r="L1519" t="str">
            <v>6115.22.00.00.00</v>
          </cell>
        </row>
        <row r="1520">
          <cell r="B1520" t="str">
            <v>W9218R</v>
          </cell>
          <cell r="C1520" t="str">
            <v>Women's Bras</v>
          </cell>
          <cell r="D1520" t="str">
            <v>Neon Bubblegum</v>
          </cell>
          <cell r="E1520" t="str">
            <v>SHELL: 90%POLYESTER 10%ELAST...</v>
          </cell>
          <cell r="F1520" t="str">
            <v>VN</v>
          </cell>
          <cell r="G1520" t="str">
            <v>Slit Bra</v>
          </cell>
          <cell r="H1520">
            <v>10.1</v>
          </cell>
          <cell r="I1520">
            <v>30</v>
          </cell>
          <cell r="J1520">
            <v>303</v>
          </cell>
          <cell r="K1520" t="str">
            <v>6212.10.9020</v>
          </cell>
          <cell r="L1520" t="str">
            <v>6212.10.90.00.00</v>
          </cell>
        </row>
        <row r="1521">
          <cell r="B1521" t="str">
            <v>A0838U</v>
          </cell>
          <cell r="C1521" t="str">
            <v>Accessory - Socks</v>
          </cell>
          <cell r="D1521" t="str">
            <v>Black</v>
          </cell>
          <cell r="E1521" t="str">
            <v>80%COTTON 9%POLYESTER 9%NY...</v>
          </cell>
          <cell r="F1521" t="str">
            <v>TR</v>
          </cell>
          <cell r="G1521" t="str">
            <v>Unisex Half-Crew Scrunch Sock</v>
          </cell>
          <cell r="H1521">
            <v>2.6</v>
          </cell>
          <cell r="I1521">
            <v>30</v>
          </cell>
          <cell r="J1521">
            <v>78</v>
          </cell>
          <cell r="K1521" t="str">
            <v>6115.95.9000</v>
          </cell>
          <cell r="L1521" t="str">
            <v>6115.95.00.00.00</v>
          </cell>
        </row>
        <row r="1522">
          <cell r="B1522" t="str">
            <v>A0838U</v>
          </cell>
          <cell r="C1522" t="str">
            <v>Accessory - Socks</v>
          </cell>
          <cell r="D1522" t="str">
            <v>White</v>
          </cell>
          <cell r="E1522" t="str">
            <v>80%COTTON 9%POLYESTER 9%NY...</v>
          </cell>
          <cell r="F1522" t="str">
            <v>TR</v>
          </cell>
          <cell r="G1522" t="str">
            <v>Unisex Half-Crew Scrunch Sock</v>
          </cell>
          <cell r="H1522">
            <v>2.6</v>
          </cell>
          <cell r="I1522">
            <v>30</v>
          </cell>
          <cell r="J1522">
            <v>78</v>
          </cell>
          <cell r="K1522" t="str">
            <v>6115.95.9000</v>
          </cell>
          <cell r="L1522" t="str">
            <v>6115.95.00.00.00</v>
          </cell>
        </row>
        <row r="1523">
          <cell r="B1523" t="str">
            <v>A0838U</v>
          </cell>
          <cell r="C1523" t="str">
            <v>Accessory - Socks</v>
          </cell>
          <cell r="D1523" t="str">
            <v>Athletic Heather Grey</v>
          </cell>
          <cell r="E1523" t="str">
            <v>80%COTTON 9%POLYESTER 9%NY...</v>
          </cell>
          <cell r="F1523" t="str">
            <v>TR</v>
          </cell>
          <cell r="G1523" t="str">
            <v>Unisex Half-Crew Scrunch Sock</v>
          </cell>
          <cell r="H1523">
            <v>2.6</v>
          </cell>
          <cell r="I1523">
            <v>30</v>
          </cell>
          <cell r="J1523">
            <v>78</v>
          </cell>
          <cell r="K1523" t="str">
            <v>6115.95.9000</v>
          </cell>
          <cell r="L1523" t="str">
            <v>6115.95.00.00.00</v>
          </cell>
        </row>
        <row r="1524">
          <cell r="B1524" t="str">
            <v>M3290R</v>
          </cell>
          <cell r="C1524" t="str">
            <v>Men's Cover Ups</v>
          </cell>
          <cell r="D1524" t="str">
            <v>Bone</v>
          </cell>
          <cell r="E1524" t="str">
            <v>47%MODAL 47%COTTON 6%ELAST...</v>
          </cell>
          <cell r="F1524" t="str">
            <v>VN</v>
          </cell>
          <cell r="G1524" t="str">
            <v>Double Take Long Sleeve 1/4 Z</v>
          </cell>
          <cell r="H1524">
            <v>16.64</v>
          </cell>
          <cell r="I1524">
            <v>30</v>
          </cell>
          <cell r="J1524">
            <v>499.2</v>
          </cell>
          <cell r="K1524" t="str">
            <v>6105.20.2010</v>
          </cell>
          <cell r="L1524" t="str">
            <v>6105.20.10.00.00</v>
          </cell>
        </row>
        <row r="1525">
          <cell r="B1525" t="str">
            <v>A0769W</v>
          </cell>
          <cell r="C1525" t="str">
            <v>Women's Undergarments</v>
          </cell>
          <cell r="D1525" t="str">
            <v>Black</v>
          </cell>
          <cell r="E1525" t="str">
            <v>84%NYLON 16%ELASTANE</v>
          </cell>
          <cell r="F1525" t="str">
            <v>CN</v>
          </cell>
          <cell r="G1525" t="str">
            <v>Sheer Glow Boyshort</v>
          </cell>
          <cell r="H1525">
            <v>5.23</v>
          </cell>
          <cell r="I1525">
            <v>41</v>
          </cell>
          <cell r="J1525">
            <v>214.43</v>
          </cell>
          <cell r="K1525" t="str">
            <v>6108.22.9020</v>
          </cell>
          <cell r="L1525" t="str">
            <v>6108.22.00.00.00</v>
          </cell>
        </row>
        <row r="1526">
          <cell r="B1526" t="str">
            <v>A0769W</v>
          </cell>
          <cell r="C1526" t="str">
            <v>Women's Undergarments</v>
          </cell>
          <cell r="D1526" t="str">
            <v>Ivory</v>
          </cell>
          <cell r="E1526" t="str">
            <v>84%NYLON 16%ELASTANE</v>
          </cell>
          <cell r="F1526" t="str">
            <v>CN</v>
          </cell>
          <cell r="G1526" t="str">
            <v>Sheer Glow Boyshort</v>
          </cell>
          <cell r="H1526">
            <v>5.23</v>
          </cell>
          <cell r="I1526">
            <v>40</v>
          </cell>
          <cell r="J1526">
            <v>209.2</v>
          </cell>
          <cell r="K1526" t="str">
            <v>6108.22.9020</v>
          </cell>
          <cell r="L1526" t="str">
            <v>6108.22.00.00.00</v>
          </cell>
        </row>
        <row r="1527">
          <cell r="B1527" t="str">
            <v>A0769W</v>
          </cell>
          <cell r="C1527" t="str">
            <v>Women's Undergarments</v>
          </cell>
          <cell r="D1527" t="str">
            <v>Taupe</v>
          </cell>
          <cell r="E1527" t="str">
            <v>84%NYLON 16%ELASTANE</v>
          </cell>
          <cell r="F1527" t="str">
            <v>CN</v>
          </cell>
          <cell r="G1527" t="str">
            <v>Sheer Glow Boyshort</v>
          </cell>
          <cell r="H1527">
            <v>5.24</v>
          </cell>
          <cell r="I1527">
            <v>50</v>
          </cell>
          <cell r="J1527">
            <v>262</v>
          </cell>
          <cell r="K1527" t="str">
            <v>6108.22.9020</v>
          </cell>
          <cell r="L1527" t="str">
            <v>6108.22.00.00.00</v>
          </cell>
        </row>
        <row r="1528">
          <cell r="B1528" t="str">
            <v>A0429W</v>
          </cell>
          <cell r="C1528" t="str">
            <v>Accessory - Socks</v>
          </cell>
          <cell r="D1528" t="str">
            <v>Ivory</v>
          </cell>
          <cell r="E1528" t="str">
            <v>90%POLYESTER 8%NYLON 2%ELA...</v>
          </cell>
          <cell r="F1528" t="str">
            <v>TR</v>
          </cell>
          <cell r="G1528" t="str">
            <v>Plush Lush Sock</v>
          </cell>
          <cell r="H1528">
            <v>2.27</v>
          </cell>
          <cell r="I1528">
            <v>55</v>
          </cell>
          <cell r="J1528">
            <v>124.85</v>
          </cell>
          <cell r="K1528" t="str">
            <v>6115.96.9020</v>
          </cell>
          <cell r="L1528" t="str">
            <v>6115.96.91.00.00</v>
          </cell>
        </row>
        <row r="1529">
          <cell r="B1529" t="str">
            <v>W6495R</v>
          </cell>
          <cell r="C1529" t="str">
            <v>Women's Shorts</v>
          </cell>
          <cell r="D1529" t="str">
            <v>Black</v>
          </cell>
          <cell r="E1529" t="str">
            <v>78%NYLON 22%ELASTANE</v>
          </cell>
          <cell r="F1529" t="str">
            <v>NI</v>
          </cell>
          <cell r="H1529">
            <v>11.43</v>
          </cell>
          <cell r="I1529">
            <v>111</v>
          </cell>
          <cell r="J1529">
            <v>1268.73</v>
          </cell>
          <cell r="K1529" t="str">
            <v>6104.63.2030</v>
          </cell>
          <cell r="L1529" t="str">
            <v>6104.63.00.00.00</v>
          </cell>
        </row>
        <row r="1530">
          <cell r="B1530" t="str">
            <v>W2704R</v>
          </cell>
          <cell r="C1530" t="str">
            <v>Women's Tanks</v>
          </cell>
          <cell r="D1530" t="str">
            <v>Black</v>
          </cell>
          <cell r="E1530" t="str">
            <v>78%NYLON 22%ELASTANE</v>
          </cell>
          <cell r="F1530" t="str">
            <v>NI</v>
          </cell>
          <cell r="H1530">
            <v>8.4</v>
          </cell>
          <cell r="I1530">
            <v>111</v>
          </cell>
          <cell r="J1530">
            <v>932.4</v>
          </cell>
          <cell r="K1530" t="str">
            <v>6109.90.1065</v>
          </cell>
          <cell r="L1530" t="str">
            <v>6109.90.20.00.12</v>
          </cell>
        </row>
        <row r="1531">
          <cell r="B1531" t="str">
            <v>W2704R</v>
          </cell>
          <cell r="C1531" t="str">
            <v>Women's Tanks</v>
          </cell>
          <cell r="D1531" t="str">
            <v>Candy Red</v>
          </cell>
          <cell r="E1531" t="str">
            <v>78%NYLON 22%ELASTANE</v>
          </cell>
          <cell r="F1531" t="str">
            <v>NI</v>
          </cell>
          <cell r="H1531">
            <v>8.16</v>
          </cell>
          <cell r="I1531">
            <v>20</v>
          </cell>
          <cell r="J1531">
            <v>163.19999999999999</v>
          </cell>
          <cell r="K1531" t="str">
            <v>6109.90.1065</v>
          </cell>
          <cell r="L1531" t="str">
            <v>6109.90.20.00.12</v>
          </cell>
        </row>
        <row r="1532">
          <cell r="B1532" t="str">
            <v>A0787U</v>
          </cell>
          <cell r="C1532" t="str">
            <v>Accessory - Hair Management</v>
          </cell>
          <cell r="D1532" t="str">
            <v>Black</v>
          </cell>
          <cell r="E1532" t="str">
            <v>78% NYLON, 22% ELASTANE</v>
          </cell>
          <cell r="F1532" t="str">
            <v>NI</v>
          </cell>
          <cell r="H1532">
            <v>2.91</v>
          </cell>
          <cell r="I1532">
            <v>150</v>
          </cell>
          <cell r="J1532">
            <v>436.5</v>
          </cell>
          <cell r="K1532" t="str">
            <v>6117.80.8500</v>
          </cell>
          <cell r="L1532" t="str">
            <v>6117.80.80.00.00</v>
          </cell>
        </row>
        <row r="1533">
          <cell r="B1533" t="str">
            <v>A0787U</v>
          </cell>
          <cell r="C1533" t="str">
            <v>Accessory - Hair Management</v>
          </cell>
          <cell r="D1533" t="str">
            <v>Bluestone</v>
          </cell>
          <cell r="E1533" t="str">
            <v>78% NYLON, 22% ELASTANE</v>
          </cell>
          <cell r="F1533" t="str">
            <v>NI</v>
          </cell>
          <cell r="H1533">
            <v>2.91</v>
          </cell>
          <cell r="I1533">
            <v>60</v>
          </cell>
          <cell r="J1533">
            <v>174.6</v>
          </cell>
          <cell r="K1533" t="str">
            <v>6117.80.8500</v>
          </cell>
          <cell r="L1533" t="str">
            <v>6117.80.80.00.00</v>
          </cell>
        </row>
        <row r="1534">
          <cell r="B1534" t="str">
            <v>W1479R</v>
          </cell>
          <cell r="C1534" t="str">
            <v>Women's Short Sleeve Tops</v>
          </cell>
          <cell r="D1534" t="str">
            <v>White</v>
          </cell>
          <cell r="E1534" t="str">
            <v>78% NYLON, 22% ELASTANE</v>
          </cell>
          <cell r="F1534" t="str">
            <v>NI</v>
          </cell>
          <cell r="H1534">
            <v>12.79</v>
          </cell>
          <cell r="I1534">
            <v>62</v>
          </cell>
          <cell r="J1534">
            <v>792.98</v>
          </cell>
          <cell r="K1534" t="str">
            <v>6109.90.1050</v>
          </cell>
          <cell r="L1534" t="str">
            <v>6109.90.20.00.12</v>
          </cell>
        </row>
        <row r="1535">
          <cell r="B1535" t="str">
            <v>A0772U</v>
          </cell>
          <cell r="C1535" t="str">
            <v>Accessory - Bags</v>
          </cell>
          <cell r="D1535" t="str">
            <v>Black</v>
          </cell>
          <cell r="E1535" t="str">
            <v>SHELL: 100%NYLON&gt;CONTRAST: 1...</v>
          </cell>
          <cell r="F1535" t="str">
            <v>CN</v>
          </cell>
          <cell r="H1535">
            <v>24.51</v>
          </cell>
          <cell r="I1535">
            <v>155</v>
          </cell>
          <cell r="J1535">
            <v>3799.05</v>
          </cell>
          <cell r="K1535" t="str">
            <v>4202.92.3131</v>
          </cell>
          <cell r="L1535" t="str">
            <v>4202.92.98.90.00</v>
          </cell>
        </row>
        <row r="1536">
          <cell r="B1536" t="str">
            <v>W8291R</v>
          </cell>
          <cell r="C1536" t="str">
            <v>Women's Dresses</v>
          </cell>
          <cell r="D1536" t="str">
            <v>Pink Quartz</v>
          </cell>
          <cell r="E1536" t="str">
            <v>BODY: 77%POLYESTER 23%ELAST...</v>
          </cell>
          <cell r="F1536" t="str">
            <v>VN</v>
          </cell>
          <cell r="H1536">
            <v>33.020000000000003</v>
          </cell>
          <cell r="I1536">
            <v>9</v>
          </cell>
          <cell r="J1536">
            <v>297.18</v>
          </cell>
          <cell r="K1536" t="str">
            <v>6104.43.2010</v>
          </cell>
          <cell r="L1536" t="str">
            <v>6104.43.00.00.19</v>
          </cell>
        </row>
        <row r="1537">
          <cell r="B1537" t="str">
            <v>W54220R</v>
          </cell>
          <cell r="C1537" t="str">
            <v>Women's 7/8 Leggings</v>
          </cell>
          <cell r="D1537" t="str">
            <v>Black/White</v>
          </cell>
          <cell r="E1537" t="str">
            <v>77%POLYESTER 23%ELASTANE</v>
          </cell>
          <cell r="F1537" t="str">
            <v>VN</v>
          </cell>
          <cell r="H1537">
            <v>15</v>
          </cell>
          <cell r="I1537">
            <v>83</v>
          </cell>
          <cell r="J1537">
            <v>1245</v>
          </cell>
          <cell r="K1537" t="str">
            <v>6104.63.2006</v>
          </cell>
          <cell r="L1537" t="str">
            <v>6115.22.00.00.00</v>
          </cell>
        </row>
        <row r="1538">
          <cell r="B1538" t="str">
            <v>W1468R</v>
          </cell>
          <cell r="C1538" t="str">
            <v>Women's Short Sleeve Tops</v>
          </cell>
          <cell r="D1538" t="str">
            <v>Black</v>
          </cell>
          <cell r="E1538" t="str">
            <v>94%POLYESTER 6%ELASTANE</v>
          </cell>
          <cell r="F1538" t="str">
            <v>CN</v>
          </cell>
          <cell r="H1538">
            <v>68.900000000000006</v>
          </cell>
          <cell r="I1538">
            <v>4</v>
          </cell>
          <cell r="J1538">
            <v>275.60000000000002</v>
          </cell>
          <cell r="K1538" t="str">
            <v>6110.12.1020</v>
          </cell>
          <cell r="L1538" t="str">
            <v>6110.12.90.00.00</v>
          </cell>
        </row>
        <row r="1539">
          <cell r="B1539" t="str">
            <v>W9844R</v>
          </cell>
          <cell r="C1539" t="str">
            <v>Women's Bras</v>
          </cell>
          <cell r="D1539" t="str">
            <v>Crystal Clear Blue/White</v>
          </cell>
          <cell r="E1539" t="str">
            <v>BODY: 77%POLYESTER 23%ELAST...</v>
          </cell>
          <cell r="F1539" t="str">
            <v>VN</v>
          </cell>
          <cell r="H1539">
            <v>10.5</v>
          </cell>
          <cell r="I1539">
            <v>73</v>
          </cell>
          <cell r="J1539">
            <v>766.5</v>
          </cell>
          <cell r="K1539" t="str">
            <v>6212.10.9020</v>
          </cell>
          <cell r="L1539" t="str">
            <v>6212.10.90.00.00</v>
          </cell>
        </row>
        <row r="1540">
          <cell r="B1540" t="str">
            <v>W6543R</v>
          </cell>
          <cell r="C1540" t="str">
            <v>Women's Shorts</v>
          </cell>
          <cell r="D1540" t="str">
            <v>Seashell Blue</v>
          </cell>
          <cell r="E1540" t="str">
            <v>BODY: 83%NYLON 17%ELASTANE&gt;...</v>
          </cell>
          <cell r="F1540" t="str">
            <v>VN</v>
          </cell>
          <cell r="H1540">
            <v>15.47</v>
          </cell>
          <cell r="I1540">
            <v>50</v>
          </cell>
          <cell r="J1540">
            <v>773.5</v>
          </cell>
          <cell r="K1540" t="str">
            <v>6204.63.9032</v>
          </cell>
          <cell r="L1540" t="str">
            <v>6204.63.18.00.00</v>
          </cell>
        </row>
        <row r="1541">
          <cell r="B1541" t="str">
            <v>W6543R</v>
          </cell>
          <cell r="C1541" t="str">
            <v>Women's Shorts</v>
          </cell>
          <cell r="D1541" t="str">
            <v>White</v>
          </cell>
          <cell r="E1541" t="str">
            <v>BODY: 83%NYLON 17%ELASTANE&gt;...</v>
          </cell>
          <cell r="F1541" t="str">
            <v>VN</v>
          </cell>
          <cell r="H1541">
            <v>15.86</v>
          </cell>
          <cell r="I1541">
            <v>34</v>
          </cell>
          <cell r="J1541">
            <v>539.24</v>
          </cell>
          <cell r="K1541" t="str">
            <v>6204.63.9032</v>
          </cell>
          <cell r="L1541" t="str">
            <v>6204.63.18.00.00</v>
          </cell>
        </row>
        <row r="1542">
          <cell r="B1542" t="str">
            <v>W8309P</v>
          </cell>
          <cell r="C1542" t="str">
            <v>Women's Dresses</v>
          </cell>
          <cell r="D1542" t="str">
            <v>Black/Ivory</v>
          </cell>
          <cell r="E1542" t="str">
            <v>100%SILK&gt;EXCLUSIVE OF TRIMMING</v>
          </cell>
          <cell r="F1542" t="str">
            <v>CN</v>
          </cell>
          <cell r="H1542">
            <v>43.43</v>
          </cell>
          <cell r="I1542">
            <v>6</v>
          </cell>
          <cell r="J1542">
            <v>260.58</v>
          </cell>
          <cell r="K1542" t="str">
            <v>6208.29.1000</v>
          </cell>
          <cell r="L1542" t="str">
            <v>6208.29.00.00.11</v>
          </cell>
        </row>
        <row r="1543">
          <cell r="B1543" t="str">
            <v>W8309P</v>
          </cell>
          <cell r="C1543" t="str">
            <v>Women's Dresses</v>
          </cell>
          <cell r="D1543" t="str">
            <v>Ivory/Black</v>
          </cell>
          <cell r="E1543" t="str">
            <v>100%SILK&gt;EXCLUSIVE OF TRIMMING</v>
          </cell>
          <cell r="F1543" t="str">
            <v>CN</v>
          </cell>
          <cell r="H1543">
            <v>43.43</v>
          </cell>
          <cell r="I1543">
            <v>7</v>
          </cell>
          <cell r="J1543">
            <v>304.01</v>
          </cell>
          <cell r="K1543" t="str">
            <v>6208.29.1000</v>
          </cell>
          <cell r="L1543" t="str">
            <v>6208.29.00.00.11</v>
          </cell>
        </row>
        <row r="1544">
          <cell r="B1544" t="str">
            <v>W8309P</v>
          </cell>
          <cell r="C1544" t="str">
            <v>Women's Dresses</v>
          </cell>
          <cell r="D1544" t="str">
            <v>Champagne Pop/Black</v>
          </cell>
          <cell r="E1544" t="str">
            <v>100%SILK&gt;EXCLUSIVE OF TRIMMING</v>
          </cell>
          <cell r="F1544" t="str">
            <v>CN</v>
          </cell>
          <cell r="H1544">
            <v>43.43</v>
          </cell>
          <cell r="I1544">
            <v>1</v>
          </cell>
          <cell r="J1544">
            <v>43.43</v>
          </cell>
          <cell r="K1544" t="str">
            <v>6208.29.1000</v>
          </cell>
          <cell r="L1544" t="str">
            <v>6208.29.00.00.11</v>
          </cell>
        </row>
        <row r="1545">
          <cell r="B1545" t="str">
            <v>W9827R</v>
          </cell>
          <cell r="C1545" t="str">
            <v>Women's Bras</v>
          </cell>
          <cell r="D1545" t="str">
            <v>Black</v>
          </cell>
          <cell r="E1545" t="str">
            <v>BODY: 77%POLYESTER 23%ELAST...</v>
          </cell>
          <cell r="F1545" t="str">
            <v>TW</v>
          </cell>
          <cell r="G1545" t="str">
            <v>Airlift Mesh Darling Bra</v>
          </cell>
          <cell r="H1545">
            <v>10.029999999999999</v>
          </cell>
          <cell r="I1545">
            <v>71</v>
          </cell>
          <cell r="J1545">
            <v>712.13</v>
          </cell>
          <cell r="K1545" t="str">
            <v>6212.10.9020</v>
          </cell>
          <cell r="L1545" t="str">
            <v>6212.10.90.00.00</v>
          </cell>
        </row>
        <row r="1546">
          <cell r="B1546" t="str">
            <v>W9827R</v>
          </cell>
          <cell r="C1546" t="str">
            <v>Women's Bras</v>
          </cell>
          <cell r="D1546" t="str">
            <v>Navy</v>
          </cell>
          <cell r="E1546" t="str">
            <v>BODY: 77%POLYESTER 23%ELAST...</v>
          </cell>
          <cell r="F1546" t="str">
            <v>TW</v>
          </cell>
          <cell r="G1546" t="str">
            <v>Airlift Mesh Darling Bra</v>
          </cell>
          <cell r="H1546">
            <v>10.029999999999999</v>
          </cell>
          <cell r="I1546">
            <v>53</v>
          </cell>
          <cell r="J1546">
            <v>531.59</v>
          </cell>
          <cell r="K1546" t="str">
            <v>6212.10.9020</v>
          </cell>
          <cell r="L1546" t="str">
            <v>6212.10.90.00.00</v>
          </cell>
        </row>
        <row r="1547">
          <cell r="B1547" t="str">
            <v>W54239R</v>
          </cell>
          <cell r="C1547" t="str">
            <v>Women's Leggings</v>
          </cell>
          <cell r="D1547" t="str">
            <v>Black</v>
          </cell>
          <cell r="E1547" t="str">
            <v>BODY: 77%POLYESTER 23%ELAST...</v>
          </cell>
          <cell r="F1547" t="str">
            <v>TW</v>
          </cell>
          <cell r="G1547" t="str">
            <v>Al High-Waist Light Speed Leg</v>
          </cell>
          <cell r="H1547">
            <v>13.94</v>
          </cell>
          <cell r="I1547">
            <v>63</v>
          </cell>
          <cell r="J1547">
            <v>878.22</v>
          </cell>
          <cell r="K1547" t="str">
            <v>6104.63.2006</v>
          </cell>
          <cell r="L1547" t="str">
            <v>6115.22.00.00.00</v>
          </cell>
        </row>
        <row r="1548">
          <cell r="B1548" t="str">
            <v>W54239R</v>
          </cell>
          <cell r="C1548" t="str">
            <v>Women's Leggings</v>
          </cell>
          <cell r="D1548" t="str">
            <v>Lunar Grey</v>
          </cell>
          <cell r="E1548" t="str">
            <v>BODY: 77%POLYESTER 23%ELAST...</v>
          </cell>
          <cell r="F1548" t="str">
            <v>TW</v>
          </cell>
          <cell r="G1548" t="str">
            <v>Al High-Waist Light Speed Leg</v>
          </cell>
          <cell r="H1548">
            <v>14.06</v>
          </cell>
          <cell r="I1548">
            <v>41</v>
          </cell>
          <cell r="J1548">
            <v>576.46</v>
          </cell>
          <cell r="K1548" t="str">
            <v>6104.63.2006</v>
          </cell>
          <cell r="L1548" t="str">
            <v>6115.22.00.00.00</v>
          </cell>
        </row>
        <row r="1549">
          <cell r="B1549" t="str">
            <v>W6518R</v>
          </cell>
          <cell r="C1549" t="str">
            <v>Women's Shorts</v>
          </cell>
          <cell r="D1549" t="str">
            <v>Athletic Heather Grey/White</v>
          </cell>
          <cell r="E1549" t="str">
            <v>87%POLYESTER 13%ELASTANE EX...</v>
          </cell>
          <cell r="F1549" t="str">
            <v>TW</v>
          </cell>
          <cell r="G1549" t="str">
            <v>Alosoft Heart Throb Short</v>
          </cell>
          <cell r="H1549">
            <v>7.5</v>
          </cell>
          <cell r="I1549">
            <v>41</v>
          </cell>
          <cell r="J1549">
            <v>307.5</v>
          </cell>
          <cell r="K1549" t="str">
            <v>6104.63.2030</v>
          </cell>
          <cell r="L1549" t="str">
            <v>6115.22.00.00.00</v>
          </cell>
        </row>
        <row r="1550">
          <cell r="B1550" t="str">
            <v>M3289R</v>
          </cell>
          <cell r="C1550" t="str">
            <v>Men's Long Sleeve Tops</v>
          </cell>
          <cell r="D1550" t="str">
            <v>Black</v>
          </cell>
          <cell r="E1550" t="str">
            <v>47%MODAL 47%COTTON 6%ELAST...</v>
          </cell>
          <cell r="F1550" t="str">
            <v>VN</v>
          </cell>
          <cell r="G1550" t="str">
            <v>Double Take Long Sleeve Polo</v>
          </cell>
          <cell r="H1550">
            <v>16.190000000000001</v>
          </cell>
          <cell r="I1550">
            <v>159</v>
          </cell>
          <cell r="J1550">
            <v>2574.21</v>
          </cell>
          <cell r="K1550" t="str">
            <v>6105.20.2010</v>
          </cell>
          <cell r="L1550" t="str">
            <v>6105.20.10.00.00</v>
          </cell>
        </row>
        <row r="1551">
          <cell r="B1551" t="str">
            <v>M3289R</v>
          </cell>
          <cell r="C1551" t="str">
            <v>Men's Long Sleeve Tops</v>
          </cell>
          <cell r="D1551" t="str">
            <v>Bone</v>
          </cell>
          <cell r="E1551" t="str">
            <v>47%MODAL 47%COTTON 6%ELAST...</v>
          </cell>
          <cell r="F1551" t="str">
            <v>VN</v>
          </cell>
          <cell r="G1551" t="str">
            <v>Double Take Long Sleeve Polo</v>
          </cell>
          <cell r="H1551">
            <v>16.190000000000001</v>
          </cell>
          <cell r="I1551">
            <v>85</v>
          </cell>
          <cell r="J1551">
            <v>1376.15</v>
          </cell>
          <cell r="K1551" t="str">
            <v>6105.20.2010</v>
          </cell>
          <cell r="L1551" t="str">
            <v>6105.20.10.00.00</v>
          </cell>
        </row>
        <row r="1552">
          <cell r="B1552" t="str">
            <v>W3850R</v>
          </cell>
          <cell r="C1552" t="str">
            <v>Women's Cover Ups</v>
          </cell>
          <cell r="D1552" t="str">
            <v>Black</v>
          </cell>
          <cell r="E1552" t="str">
            <v>99%NYLON 1%ELASTANE&gt;EXCLUS...</v>
          </cell>
          <cell r="F1552" t="str">
            <v>CN</v>
          </cell>
          <cell r="G1552" t="str">
            <v>Snuggle Up Swtr Crpd Cardigan</v>
          </cell>
          <cell r="H1552">
            <v>23.64</v>
          </cell>
          <cell r="I1552">
            <v>59</v>
          </cell>
          <cell r="J1552">
            <v>1394.76</v>
          </cell>
          <cell r="K1552" t="str">
            <v>6110.30.3059</v>
          </cell>
          <cell r="L1552" t="str">
            <v>6110.30.99.00.00</v>
          </cell>
        </row>
        <row r="1553">
          <cell r="B1553" t="str">
            <v>W3850R</v>
          </cell>
          <cell r="C1553" t="str">
            <v>Women's Cover Ups</v>
          </cell>
          <cell r="D1553" t="str">
            <v>Ivory</v>
          </cell>
          <cell r="E1553" t="str">
            <v>99%NYLON 1%ELASTANE&gt;EXCLUS...</v>
          </cell>
          <cell r="F1553" t="str">
            <v>CN</v>
          </cell>
          <cell r="G1553" t="str">
            <v>Snuggle Up Swtr Crpd Cardigan</v>
          </cell>
          <cell r="H1553">
            <v>23.64</v>
          </cell>
          <cell r="I1553">
            <v>48</v>
          </cell>
          <cell r="J1553">
            <v>1134.72</v>
          </cell>
          <cell r="K1553" t="str">
            <v>6110.30.3059</v>
          </cell>
          <cell r="L1553" t="str">
            <v>6110.30.99.00.00</v>
          </cell>
        </row>
        <row r="1554">
          <cell r="B1554" t="str">
            <v>W2801R</v>
          </cell>
          <cell r="C1554" t="str">
            <v>Women's Tanks</v>
          </cell>
          <cell r="D1554" t="str">
            <v>Black</v>
          </cell>
          <cell r="E1554" t="str">
            <v>BODY: 94% POLYESTER 6% ELAST...</v>
          </cell>
          <cell r="F1554" t="str">
            <v>TW</v>
          </cell>
          <cell r="G1554" t="str">
            <v>Mesh Front Runner Tank</v>
          </cell>
          <cell r="H1554">
            <v>8.36</v>
          </cell>
          <cell r="I1554">
            <v>15</v>
          </cell>
          <cell r="J1554">
            <v>125.4</v>
          </cell>
          <cell r="K1554" t="str">
            <v>6114.30.1020</v>
          </cell>
          <cell r="L1554" t="str">
            <v>6114.30.00.00.11</v>
          </cell>
        </row>
        <row r="1555">
          <cell r="B1555" t="str">
            <v>W2801R</v>
          </cell>
          <cell r="C1555" t="str">
            <v>Women's Tanks</v>
          </cell>
          <cell r="D1555" t="str">
            <v>White</v>
          </cell>
          <cell r="E1555" t="str">
            <v>BODY: 94% POLYESTER 6% ELAST...</v>
          </cell>
          <cell r="F1555" t="str">
            <v>TW</v>
          </cell>
          <cell r="G1555" t="str">
            <v>Mesh Front Runner Tank</v>
          </cell>
          <cell r="H1555">
            <v>8.36</v>
          </cell>
          <cell r="I1555">
            <v>15</v>
          </cell>
          <cell r="J1555">
            <v>125.4</v>
          </cell>
          <cell r="K1555" t="str">
            <v>6114.30.1020</v>
          </cell>
          <cell r="L1555" t="str">
            <v>6114.30.00.00.11</v>
          </cell>
        </row>
        <row r="1556">
          <cell r="B1556" t="str">
            <v>W9866R</v>
          </cell>
          <cell r="C1556" t="str">
            <v>Women's Bras</v>
          </cell>
          <cell r="D1556" t="str">
            <v>Black</v>
          </cell>
          <cell r="E1556" t="str">
            <v>BODY: 77%POLYESTER 23%ELAST...</v>
          </cell>
          <cell r="F1556" t="str">
            <v>TW</v>
          </cell>
          <cell r="G1556" t="str">
            <v>Airlift Light Speed Hooded Bra</v>
          </cell>
          <cell r="H1556">
            <v>13.65</v>
          </cell>
          <cell r="I1556">
            <v>8</v>
          </cell>
          <cell r="J1556">
            <v>109.2</v>
          </cell>
          <cell r="K1556" t="str">
            <v>6114.30.1020</v>
          </cell>
          <cell r="L1556" t="str">
            <v>6114.30.00.00.11</v>
          </cell>
        </row>
        <row r="1557">
          <cell r="B1557" t="str">
            <v>M6155R</v>
          </cell>
          <cell r="C1557" t="str">
            <v>Men's Shorts</v>
          </cell>
          <cell r="D1557" t="str">
            <v>Bluestone</v>
          </cell>
          <cell r="E1557" t="str">
            <v>BODY: 86%POLYESTER 14%ELAST...</v>
          </cell>
          <cell r="F1557" t="str">
            <v>ID</v>
          </cell>
          <cell r="G1557" t="str">
            <v>5'' Repetition Short</v>
          </cell>
          <cell r="H1557">
            <v>10.3</v>
          </cell>
          <cell r="I1557">
            <v>36</v>
          </cell>
          <cell r="J1557">
            <v>370.8</v>
          </cell>
          <cell r="K1557" t="str">
            <v>6203.43.9030</v>
          </cell>
          <cell r="L1557" t="str">
            <v>6203.43.19.00.00</v>
          </cell>
        </row>
        <row r="1558">
          <cell r="B1558" t="str">
            <v>M6155R</v>
          </cell>
          <cell r="C1558" t="str">
            <v>Men's Shorts</v>
          </cell>
          <cell r="D1558" t="str">
            <v>Gravel</v>
          </cell>
          <cell r="E1558" t="str">
            <v>BODY: 86%POLYESTER 14%ELAST...</v>
          </cell>
          <cell r="F1558" t="str">
            <v>ID</v>
          </cell>
          <cell r="G1558" t="str">
            <v>5'' Repetition Short</v>
          </cell>
          <cell r="H1558">
            <v>10.33</v>
          </cell>
          <cell r="I1558">
            <v>33</v>
          </cell>
          <cell r="J1558">
            <v>340.89</v>
          </cell>
          <cell r="K1558" t="str">
            <v>6203.43.9030</v>
          </cell>
          <cell r="L1558" t="str">
            <v>6203.43.19.00.00</v>
          </cell>
        </row>
        <row r="1559">
          <cell r="B1559" t="str">
            <v>W54260R</v>
          </cell>
          <cell r="C1559" t="str">
            <v>Women's Other Bottoms</v>
          </cell>
          <cell r="D1559" t="str">
            <v>Black/Titanium</v>
          </cell>
          <cell r="E1559" t="str">
            <v>86%POLYESTER 14%ELASTANE &gt;E...</v>
          </cell>
          <cell r="F1559" t="str">
            <v>VN</v>
          </cell>
          <cell r="G1559" t="str">
            <v>Pinstripe Daylight Boxer Pant</v>
          </cell>
          <cell r="H1559">
            <v>22.8</v>
          </cell>
          <cell r="I1559">
            <v>14</v>
          </cell>
          <cell r="J1559">
            <v>319.2</v>
          </cell>
          <cell r="K1559" t="str">
            <v>6204.63.9011</v>
          </cell>
          <cell r="L1559" t="str">
            <v>6204.63.18.00.00</v>
          </cell>
        </row>
        <row r="1560">
          <cell r="B1560" t="str">
            <v>W54260R</v>
          </cell>
          <cell r="C1560" t="str">
            <v>Women's Other Bottoms</v>
          </cell>
          <cell r="D1560" t="str">
            <v>Lunar Grey/White</v>
          </cell>
          <cell r="E1560" t="str">
            <v>86%POLYESTER 14%ELASTANE &gt;E...</v>
          </cell>
          <cell r="F1560" t="str">
            <v>VN</v>
          </cell>
          <cell r="G1560" t="str">
            <v>Pinstripe Daylight Boxer Pant</v>
          </cell>
          <cell r="H1560">
            <v>22.8</v>
          </cell>
          <cell r="I1560">
            <v>14</v>
          </cell>
          <cell r="J1560">
            <v>319.2</v>
          </cell>
          <cell r="K1560" t="str">
            <v>6204.63.9011</v>
          </cell>
          <cell r="L1560" t="str">
            <v>6204.63.18.00.00</v>
          </cell>
        </row>
        <row r="1561">
          <cell r="B1561" t="str">
            <v>W54329R</v>
          </cell>
          <cell r="C1561" t="str">
            <v>Women's Other Bottoms</v>
          </cell>
          <cell r="D1561" t="str">
            <v>Black</v>
          </cell>
          <cell r="E1561" t="str">
            <v>83%NYLON 17%ELASTANE</v>
          </cell>
          <cell r="F1561" t="str">
            <v>ID</v>
          </cell>
          <cell r="G1561" t="str">
            <v>Breezy Wide Leg Pant (Regular)</v>
          </cell>
          <cell r="H1561">
            <v>21.06</v>
          </cell>
          <cell r="I1561">
            <v>70</v>
          </cell>
          <cell r="J1561">
            <v>1474.2</v>
          </cell>
          <cell r="K1561" t="str">
            <v>6204.63.9011</v>
          </cell>
          <cell r="L1561" t="str">
            <v>6204.63.18.00.00</v>
          </cell>
        </row>
        <row r="1562">
          <cell r="B1562" t="str">
            <v>W54329R</v>
          </cell>
          <cell r="C1562" t="str">
            <v>Women's Other Bottoms</v>
          </cell>
          <cell r="D1562" t="str">
            <v>White</v>
          </cell>
          <cell r="E1562" t="str">
            <v>83%NYLON 17%ELASTANE</v>
          </cell>
          <cell r="F1562" t="str">
            <v>ID</v>
          </cell>
          <cell r="G1562" t="str">
            <v>Breezy Wide Leg Pant (Regular)</v>
          </cell>
          <cell r="H1562">
            <v>21.06</v>
          </cell>
          <cell r="I1562">
            <v>23</v>
          </cell>
          <cell r="J1562">
            <v>484.38</v>
          </cell>
          <cell r="K1562" t="str">
            <v>6204.63.9011</v>
          </cell>
          <cell r="L1562" t="str">
            <v>6204.63.18.00.00</v>
          </cell>
        </row>
        <row r="1563">
          <cell r="B1563" t="str">
            <v>W54329R</v>
          </cell>
          <cell r="C1563" t="str">
            <v>Women's Other Bottoms</v>
          </cell>
          <cell r="D1563" t="str">
            <v>Lunar Grey</v>
          </cell>
          <cell r="E1563" t="str">
            <v>83%NYLON 17%ELASTANE</v>
          </cell>
          <cell r="F1563" t="str">
            <v>ID</v>
          </cell>
          <cell r="G1563" t="str">
            <v>Breezy Wide Leg Pant (Regular)</v>
          </cell>
          <cell r="H1563">
            <v>21.06</v>
          </cell>
          <cell r="I1563">
            <v>30</v>
          </cell>
          <cell r="J1563">
            <v>631.79999999999995</v>
          </cell>
          <cell r="K1563" t="str">
            <v>6204.63.9011</v>
          </cell>
          <cell r="L1563" t="str">
            <v>6204.63.18.00.00</v>
          </cell>
        </row>
        <row r="1564">
          <cell r="B1564" t="str">
            <v>W6520R</v>
          </cell>
          <cell r="C1564" t="str">
            <v>Women's Shorts</v>
          </cell>
          <cell r="D1564" t="str">
            <v>Black</v>
          </cell>
          <cell r="E1564" t="str">
            <v>89% RECYCLED POLYESTER 11%ELASTANE</v>
          </cell>
          <cell r="F1564" t="str">
            <v>ID</v>
          </cell>
          <cell r="G1564" t="str">
            <v>High-Waist Dreamscape Short</v>
          </cell>
          <cell r="H1564">
            <v>14.03</v>
          </cell>
          <cell r="I1564">
            <v>14</v>
          </cell>
          <cell r="J1564">
            <v>196.42</v>
          </cell>
          <cell r="K1564" t="str">
            <v>6204.63.9032</v>
          </cell>
          <cell r="L1564" t="str">
            <v>6204.63.18.00.00</v>
          </cell>
        </row>
        <row r="1565">
          <cell r="B1565" t="str">
            <v>W6520R</v>
          </cell>
          <cell r="C1565" t="str">
            <v>Women's Shorts</v>
          </cell>
          <cell r="D1565" t="str">
            <v>Lunar Grey</v>
          </cell>
          <cell r="E1565" t="str">
            <v>89% RECYCLED POLYESTER 11%ELASTANE</v>
          </cell>
          <cell r="F1565" t="str">
            <v>VN</v>
          </cell>
          <cell r="G1565" t="str">
            <v>High-Waist Dreamscape Short</v>
          </cell>
          <cell r="H1565">
            <v>14.16</v>
          </cell>
          <cell r="I1565">
            <v>15</v>
          </cell>
          <cell r="J1565">
            <v>212.4</v>
          </cell>
          <cell r="K1565" t="str">
            <v>6204.63.9032</v>
          </cell>
          <cell r="L1565" t="str">
            <v>6204.63.18.00.00</v>
          </cell>
        </row>
        <row r="1566">
          <cell r="B1566" t="str">
            <v>W6520R</v>
          </cell>
          <cell r="C1566" t="str">
            <v>Women's Shorts</v>
          </cell>
          <cell r="D1566" t="str">
            <v>Semi Sheer White</v>
          </cell>
          <cell r="E1566" t="str">
            <v>89% RECYCLED POLYESTER 11%ELASTANE</v>
          </cell>
          <cell r="F1566" t="str">
            <v>VN</v>
          </cell>
          <cell r="G1566" t="str">
            <v>High-Waist Dreamscape Short</v>
          </cell>
          <cell r="H1566">
            <v>13.69</v>
          </cell>
          <cell r="I1566">
            <v>11</v>
          </cell>
          <cell r="J1566">
            <v>150.59</v>
          </cell>
          <cell r="K1566" t="str">
            <v>6204.63.9032</v>
          </cell>
          <cell r="L1566" t="str">
            <v>6204.63.18.00.00</v>
          </cell>
        </row>
        <row r="1567">
          <cell r="B1567" t="str">
            <v>W2802R</v>
          </cell>
          <cell r="C1567" t="str">
            <v>Women's Tanks</v>
          </cell>
          <cell r="D1567" t="str">
            <v>Black</v>
          </cell>
          <cell r="E1567" t="str">
            <v>89% RECYCLED POLYESTER 11%ELASTANE</v>
          </cell>
          <cell r="F1567" t="str">
            <v>VN</v>
          </cell>
          <cell r="G1567" t="str">
            <v>Cropped Dreamscape Tank</v>
          </cell>
          <cell r="H1567">
            <v>8.2899999999999991</v>
          </cell>
          <cell r="I1567">
            <v>15</v>
          </cell>
          <cell r="J1567">
            <v>124.35</v>
          </cell>
          <cell r="K1567" t="str">
            <v>6211.43.1062</v>
          </cell>
          <cell r="L1567" t="str">
            <v>6211.43.10.00.00</v>
          </cell>
        </row>
        <row r="1568">
          <cell r="B1568" t="str">
            <v>W2802R</v>
          </cell>
          <cell r="C1568" t="str">
            <v>Women's Tanks</v>
          </cell>
          <cell r="D1568" t="str">
            <v>White</v>
          </cell>
          <cell r="E1568" t="str">
            <v>89% RECYCLED POLYESTER 11%ELASTANE</v>
          </cell>
          <cell r="F1568" t="str">
            <v>VN</v>
          </cell>
          <cell r="G1568" t="str">
            <v>Cropped Dreamscape Tank</v>
          </cell>
          <cell r="H1568">
            <v>8.2899999999999991</v>
          </cell>
          <cell r="I1568">
            <v>11</v>
          </cell>
          <cell r="J1568">
            <v>91.19</v>
          </cell>
          <cell r="K1568" t="str">
            <v>6211.43.1062</v>
          </cell>
          <cell r="L1568" t="str">
            <v>6211.43.10.00.00</v>
          </cell>
        </row>
        <row r="1569">
          <cell r="B1569" t="str">
            <v>W2802R</v>
          </cell>
          <cell r="C1569" t="str">
            <v>Women's Tanks</v>
          </cell>
          <cell r="D1569" t="str">
            <v>Lunar Grey</v>
          </cell>
          <cell r="E1569" t="str">
            <v>89% RECYCLED POLYESTER 11%ELASTANE</v>
          </cell>
          <cell r="F1569" t="str">
            <v>VN</v>
          </cell>
          <cell r="G1569" t="str">
            <v>Cropped Dreamscape Tank</v>
          </cell>
          <cell r="H1569">
            <v>8.42</v>
          </cell>
          <cell r="I1569">
            <v>15</v>
          </cell>
          <cell r="J1569">
            <v>126.3</v>
          </cell>
          <cell r="K1569" t="str">
            <v>6211.43.1062</v>
          </cell>
          <cell r="L1569" t="str">
            <v>6211.43.10.00.00</v>
          </cell>
        </row>
        <row r="1570">
          <cell r="B1570" t="str">
            <v>A0434U</v>
          </cell>
          <cell r="C1570" t="str">
            <v>Accessory - Cold Weather</v>
          </cell>
          <cell r="D1570" t="str">
            <v>Black/Black</v>
          </cell>
          <cell r="E1570" t="str">
            <v>100%POLYESTER&gt;EXCLUSIVE OF TRIMMING</v>
          </cell>
          <cell r="F1570" t="str">
            <v>CN</v>
          </cell>
          <cell r="G1570" t="str">
            <v>PERF Fleece Glove</v>
          </cell>
          <cell r="H1570">
            <v>6.73</v>
          </cell>
          <cell r="I1570">
            <v>62</v>
          </cell>
          <cell r="J1570">
            <v>417.26</v>
          </cell>
          <cell r="K1570" t="str">
            <v>6116.93.9400</v>
          </cell>
          <cell r="L1570" t="str">
            <v>6116.93.00.00.00</v>
          </cell>
        </row>
        <row r="1571">
          <cell r="B1571" t="str">
            <v>W4670R</v>
          </cell>
          <cell r="C1571" t="str">
            <v>Women's Outerwear</v>
          </cell>
          <cell r="D1571" t="str">
            <v>Black</v>
          </cell>
          <cell r="E1571" t="str">
            <v xml:space="preserve"> BODY:83%POLYESTER 17%ELAST...</v>
          </cell>
          <cell r="F1571" t="str">
            <v>VN</v>
          </cell>
          <cell r="G1571" t="str">
            <v>Al Winter Warm Radiant Full-Zi</v>
          </cell>
          <cell r="H1571">
            <v>20.9</v>
          </cell>
          <cell r="I1571">
            <v>71</v>
          </cell>
          <cell r="J1571">
            <v>1483.9</v>
          </cell>
          <cell r="K1571" t="str">
            <v>6102.30.2010</v>
          </cell>
          <cell r="L1571" t="str">
            <v>6102.30.10.00.00</v>
          </cell>
        </row>
        <row r="1572">
          <cell r="B1572" t="str">
            <v>W4670R</v>
          </cell>
          <cell r="C1572" t="str">
            <v>Women's Outerwear</v>
          </cell>
          <cell r="D1572" t="str">
            <v>Bluestone</v>
          </cell>
          <cell r="E1572" t="str">
            <v xml:space="preserve"> BODY:83%POLYESTER 17%ELAST...</v>
          </cell>
          <cell r="F1572" t="str">
            <v>VN</v>
          </cell>
          <cell r="G1572" t="str">
            <v>Al Winter Warm Radiant Full-Zi</v>
          </cell>
          <cell r="H1572">
            <v>20.96</v>
          </cell>
          <cell r="I1572">
            <v>59</v>
          </cell>
          <cell r="J1572">
            <v>1236.6400000000001</v>
          </cell>
          <cell r="K1572" t="str">
            <v>6102.30.2010</v>
          </cell>
          <cell r="L1572" t="str">
            <v>6102.30.10.00.00</v>
          </cell>
        </row>
        <row r="1573">
          <cell r="B1573" t="str">
            <v>W8346R</v>
          </cell>
          <cell r="C1573" t="str">
            <v>Women's Dresses</v>
          </cell>
          <cell r="D1573" t="str">
            <v>Pink Wild Rose</v>
          </cell>
          <cell r="E1573" t="str">
            <v>OUTER BODY: 87%NYLON 13%ELA...</v>
          </cell>
          <cell r="F1573" t="str">
            <v>VN</v>
          </cell>
          <cell r="G1573" t="str">
            <v>Airbrush Splendor Dress</v>
          </cell>
          <cell r="H1573">
            <v>21.14</v>
          </cell>
          <cell r="I1573">
            <v>41</v>
          </cell>
          <cell r="J1573">
            <v>866.74</v>
          </cell>
          <cell r="K1573" t="str">
            <v>6104.43.2010</v>
          </cell>
          <cell r="L1573" t="str">
            <v>6104.43.00.00.19</v>
          </cell>
        </row>
        <row r="1574">
          <cell r="B1574" t="str">
            <v>W6510R</v>
          </cell>
          <cell r="C1574" t="str">
            <v>Women's Shorts</v>
          </cell>
          <cell r="D1574" t="str">
            <v>Black/White</v>
          </cell>
          <cell r="E1574" t="str">
            <v>87%NYLON 13% ELASTANE&gt;EXCLU...</v>
          </cell>
          <cell r="F1574" t="str">
            <v>TW</v>
          </cell>
          <cell r="G1574" t="str">
            <v>Ab High-Waist Race Pace Short</v>
          </cell>
          <cell r="H1574">
            <v>9.43</v>
          </cell>
          <cell r="I1574">
            <v>33</v>
          </cell>
          <cell r="J1574">
            <v>311.19</v>
          </cell>
          <cell r="K1574" t="str">
            <v>6104.63.2030</v>
          </cell>
          <cell r="L1574" t="str">
            <v>6104.63.00.00.00</v>
          </cell>
        </row>
        <row r="1575">
          <cell r="B1575" t="str">
            <v>W6510R</v>
          </cell>
          <cell r="C1575" t="str">
            <v>Women's Shorts</v>
          </cell>
          <cell r="D1575" t="str">
            <v>Pink Wild Rose/White</v>
          </cell>
          <cell r="E1575" t="str">
            <v>87%NYLON 13% ELASTANE&gt;EXCLU...</v>
          </cell>
          <cell r="F1575" t="str">
            <v>TW</v>
          </cell>
          <cell r="G1575" t="str">
            <v>Ab High-Waist Race Pace Short</v>
          </cell>
          <cell r="H1575">
            <v>9.43</v>
          </cell>
          <cell r="I1575">
            <v>23</v>
          </cell>
          <cell r="J1575">
            <v>216.89</v>
          </cell>
          <cell r="K1575" t="str">
            <v>6104.63.2030</v>
          </cell>
          <cell r="L1575" t="str">
            <v>6104.63.00.00.00</v>
          </cell>
        </row>
        <row r="1576">
          <cell r="B1576" t="str">
            <v>M2075R</v>
          </cell>
          <cell r="C1576" t="str">
            <v>Men's Tanks</v>
          </cell>
          <cell r="D1576" t="str">
            <v>Black</v>
          </cell>
          <cell r="E1576" t="str">
            <v>91%NYLON 9%ELASTANE</v>
          </cell>
          <cell r="F1576" t="str">
            <v>VN</v>
          </cell>
          <cell r="G1576" t="str">
            <v>Idol Muscle Tank</v>
          </cell>
          <cell r="H1576">
            <v>10.220000000000001</v>
          </cell>
          <cell r="I1576">
            <v>106</v>
          </cell>
          <cell r="J1576">
            <v>1083.32</v>
          </cell>
          <cell r="K1576" t="str">
            <v>6109.90.1049</v>
          </cell>
          <cell r="L1576" t="str">
            <v>6109.90.20.00.12</v>
          </cell>
        </row>
        <row r="1577">
          <cell r="B1577" t="str">
            <v>M3287R</v>
          </cell>
          <cell r="C1577" t="str">
            <v>Men's Cover Ups</v>
          </cell>
          <cell r="D1577" t="str">
            <v>Black</v>
          </cell>
          <cell r="E1577" t="str">
            <v>100%COTTON&gt;EXCLUSIVE OF TRIMMING</v>
          </cell>
          <cell r="F1577" t="str">
            <v>SG</v>
          </cell>
          <cell r="G1577" t="str">
            <v>Sports Club Sweater Knit Hdie</v>
          </cell>
          <cell r="H1577">
            <v>28.99</v>
          </cell>
          <cell r="I1577">
            <v>95</v>
          </cell>
          <cell r="J1577">
            <v>2754.05</v>
          </cell>
          <cell r="K1577" t="str">
            <v>6110.20.2010</v>
          </cell>
          <cell r="L1577" t="str">
            <v>6110.20.91.00.00</v>
          </cell>
        </row>
        <row r="1578">
          <cell r="B1578" t="str">
            <v>W3950R</v>
          </cell>
          <cell r="C1578" t="str">
            <v>Women's Cover Ups</v>
          </cell>
          <cell r="D1578" t="str">
            <v>Black</v>
          </cell>
          <cell r="E1578" t="str">
            <v>74%POLYESTER 21%VISCOSE 5%E...</v>
          </cell>
          <cell r="F1578" t="str">
            <v>VN</v>
          </cell>
          <cell r="G1578" t="str">
            <v>Muse Crew Neck Pullover</v>
          </cell>
          <cell r="H1578">
            <v>10</v>
          </cell>
          <cell r="I1578">
            <v>234</v>
          </cell>
          <cell r="J1578">
            <v>2340</v>
          </cell>
          <cell r="K1578" t="str">
            <v>6110.30.3059</v>
          </cell>
          <cell r="L1578" t="str">
            <v>6110.30.99.00.00</v>
          </cell>
        </row>
        <row r="1579">
          <cell r="B1579" t="str">
            <v>W3950R</v>
          </cell>
          <cell r="C1579" t="str">
            <v>Women's Cover Ups</v>
          </cell>
          <cell r="D1579" t="str">
            <v>Gravel Heather</v>
          </cell>
          <cell r="E1579" t="str">
            <v>74%POLYESTER 21%VISCOSE 5%E...</v>
          </cell>
          <cell r="F1579" t="str">
            <v>VN</v>
          </cell>
          <cell r="G1579" t="str">
            <v>Muse Crew Neck Pullover</v>
          </cell>
          <cell r="H1579">
            <v>10.94</v>
          </cell>
          <cell r="I1579">
            <v>189</v>
          </cell>
          <cell r="J1579">
            <v>2067.66</v>
          </cell>
          <cell r="K1579" t="str">
            <v>6110.30.3059</v>
          </cell>
          <cell r="L1579" t="str">
            <v>6110.30.99.00.00</v>
          </cell>
        </row>
        <row r="1580">
          <cell r="B1580" t="str">
            <v>W3950R</v>
          </cell>
          <cell r="C1580" t="str">
            <v>Women's Cover Ups</v>
          </cell>
          <cell r="D1580" t="str">
            <v>Navy</v>
          </cell>
          <cell r="E1580" t="str">
            <v>74%POLYESTER 21%VISCOSE 5%E...</v>
          </cell>
          <cell r="F1580" t="str">
            <v>VN</v>
          </cell>
          <cell r="G1580" t="str">
            <v>Muse Crew Neck Pullover</v>
          </cell>
          <cell r="H1580">
            <v>10</v>
          </cell>
          <cell r="I1580">
            <v>152</v>
          </cell>
          <cell r="J1580">
            <v>1520</v>
          </cell>
          <cell r="K1580" t="str">
            <v>6110.30.3059</v>
          </cell>
          <cell r="L1580" t="str">
            <v>6110.30.99.00.00</v>
          </cell>
        </row>
        <row r="1581">
          <cell r="B1581" t="str">
            <v>M4201R</v>
          </cell>
          <cell r="C1581" t="str">
            <v>Men's Outerwear</v>
          </cell>
          <cell r="D1581" t="str">
            <v>Black</v>
          </cell>
          <cell r="E1581" t="str">
            <v>SHELL: 100%COTTON&gt;LINING: 65%...</v>
          </cell>
          <cell r="F1581" t="str">
            <v>VN</v>
          </cell>
          <cell r="G1581" t="str">
            <v>Cotton Canvas Coaches Jacket</v>
          </cell>
          <cell r="H1581">
            <v>34.58</v>
          </cell>
          <cell r="I1581">
            <v>35</v>
          </cell>
          <cell r="J1581">
            <v>1210.3</v>
          </cell>
          <cell r="K1581" t="str">
            <v>6201.30.8051</v>
          </cell>
          <cell r="L1581" t="str">
            <v>6201.30.10.00.12</v>
          </cell>
        </row>
        <row r="1582">
          <cell r="B1582" t="str">
            <v>M4201R</v>
          </cell>
          <cell r="C1582" t="str">
            <v>Men's Outerwear</v>
          </cell>
          <cell r="D1582" t="str">
            <v>Espresso</v>
          </cell>
          <cell r="E1582" t="str">
            <v>SHELL: 100%COTTON&gt;LINING: 65%...</v>
          </cell>
          <cell r="F1582" t="str">
            <v>VN</v>
          </cell>
          <cell r="G1582" t="str">
            <v>Cotton Canvas Coaches Jacket</v>
          </cell>
          <cell r="H1582">
            <v>34.58</v>
          </cell>
          <cell r="I1582">
            <v>35</v>
          </cell>
          <cell r="J1582">
            <v>1210.3</v>
          </cell>
          <cell r="K1582" t="str">
            <v>6201.30.8051</v>
          </cell>
          <cell r="L1582" t="str">
            <v>6201.30.10.00.12</v>
          </cell>
        </row>
        <row r="1583">
          <cell r="B1583" t="str">
            <v>M4200R</v>
          </cell>
          <cell r="C1583" t="str">
            <v>Men's Outerwear</v>
          </cell>
          <cell r="D1583" t="str">
            <v>Black</v>
          </cell>
          <cell r="E1583" t="str">
            <v>100%POLYESTER&gt;EXCLUSIVE OF TRIMMING</v>
          </cell>
          <cell r="F1583" t="str">
            <v>CN</v>
          </cell>
          <cell r="G1583" t="str">
            <v>Bonded Shell Jacket</v>
          </cell>
          <cell r="H1583">
            <v>49.73</v>
          </cell>
          <cell r="I1583">
            <v>91</v>
          </cell>
          <cell r="J1583">
            <v>4525.43</v>
          </cell>
          <cell r="K1583" t="str">
            <v>6201.40.7000</v>
          </cell>
          <cell r="L1583" t="str">
            <v>6201.40.90.00.11</v>
          </cell>
        </row>
        <row r="1584">
          <cell r="B1584" t="str">
            <v>M4200R</v>
          </cell>
          <cell r="C1584" t="str">
            <v>Men's Outerwear</v>
          </cell>
          <cell r="D1584" t="str">
            <v>Navy</v>
          </cell>
          <cell r="E1584" t="str">
            <v>100%POLYESTER&gt;EXCLUSIVE OF TRIMMING</v>
          </cell>
          <cell r="F1584" t="str">
            <v>CN</v>
          </cell>
          <cell r="G1584" t="str">
            <v>Bonded Shell Jacket</v>
          </cell>
          <cell r="H1584">
            <v>49.73</v>
          </cell>
          <cell r="I1584">
            <v>50</v>
          </cell>
          <cell r="J1584">
            <v>2486.5</v>
          </cell>
          <cell r="K1584" t="str">
            <v>6201.40.7000</v>
          </cell>
          <cell r="L1584" t="str">
            <v>6201.40.90.00.11</v>
          </cell>
        </row>
        <row r="1585">
          <cell r="B1585" t="str">
            <v>M4200R</v>
          </cell>
          <cell r="C1585" t="str">
            <v>Men's Outerwear</v>
          </cell>
          <cell r="D1585" t="str">
            <v>Lunar Grey</v>
          </cell>
          <cell r="E1585" t="str">
            <v>100%POLYESTER&gt;EXCLUSIVE OF TRIMMING</v>
          </cell>
          <cell r="F1585" t="str">
            <v>CN</v>
          </cell>
          <cell r="G1585" t="str">
            <v>Bonded Shell Jacket</v>
          </cell>
          <cell r="H1585">
            <v>49.73</v>
          </cell>
          <cell r="I1585">
            <v>70</v>
          </cell>
          <cell r="J1585">
            <v>3481.1</v>
          </cell>
          <cell r="K1585" t="str">
            <v>6201.40.7000</v>
          </cell>
          <cell r="L1585" t="str">
            <v>6201.40.90.00.11</v>
          </cell>
        </row>
        <row r="1586">
          <cell r="B1586" t="str">
            <v>W4697R</v>
          </cell>
          <cell r="C1586" t="str">
            <v>Women's Outerwear</v>
          </cell>
          <cell r="D1586" t="str">
            <v>Black</v>
          </cell>
          <cell r="E1586" t="str">
            <v>SHELL FILLING &amp; LINING: 100%POL...</v>
          </cell>
          <cell r="F1586" t="str">
            <v>VN</v>
          </cell>
          <cell r="G1586" t="str">
            <v>Quilted Skyline Long Coat</v>
          </cell>
          <cell r="H1586">
            <v>50.58</v>
          </cell>
          <cell r="I1586">
            <v>71</v>
          </cell>
          <cell r="J1586">
            <v>3591.18</v>
          </cell>
          <cell r="K1586" t="str">
            <v>6202.40.2020</v>
          </cell>
          <cell r="L1586" t="str">
            <v>6202.40.10.00.11</v>
          </cell>
        </row>
        <row r="1587">
          <cell r="B1587" t="str">
            <v>W4697R</v>
          </cell>
          <cell r="C1587" t="str">
            <v>Women's Outerwear</v>
          </cell>
          <cell r="D1587" t="str">
            <v>Green Olive</v>
          </cell>
          <cell r="E1587" t="str">
            <v>SHELL FILLING &amp; LINING: 100%POL...</v>
          </cell>
          <cell r="F1587" t="str">
            <v>VN</v>
          </cell>
          <cell r="G1587" t="str">
            <v>Quilted Skyline Long Coat</v>
          </cell>
          <cell r="H1587">
            <v>50.58</v>
          </cell>
          <cell r="I1587">
            <v>44</v>
          </cell>
          <cell r="J1587">
            <v>2225.52</v>
          </cell>
          <cell r="K1587" t="str">
            <v>6202.40.2020</v>
          </cell>
          <cell r="L1587" t="str">
            <v>6202.40.10.00.11</v>
          </cell>
        </row>
        <row r="1588">
          <cell r="B1588" t="str">
            <v>W4689R</v>
          </cell>
          <cell r="C1588" t="str">
            <v>Women's Outerwear</v>
          </cell>
          <cell r="D1588" t="str">
            <v>Black</v>
          </cell>
          <cell r="E1588" t="str">
            <v>SHELL: 100%POLYESTER&gt;LINING 1...</v>
          </cell>
          <cell r="F1588" t="str">
            <v>VN</v>
          </cell>
          <cell r="G1588" t="str">
            <v>Work It Bomber</v>
          </cell>
          <cell r="H1588">
            <v>33</v>
          </cell>
          <cell r="I1588">
            <v>123</v>
          </cell>
          <cell r="J1588">
            <v>4059</v>
          </cell>
          <cell r="K1588" t="str">
            <v>6202.40.7511</v>
          </cell>
          <cell r="L1588" t="str">
            <v>6202.40.10.00.11</v>
          </cell>
        </row>
        <row r="1589">
          <cell r="B1589" t="str">
            <v>M5240R</v>
          </cell>
          <cell r="C1589" t="str">
            <v>Men's Trousers</v>
          </cell>
          <cell r="D1589" t="str">
            <v>Black</v>
          </cell>
          <cell r="E1589" t="str">
            <v>100%POLYESTER&gt;EXCLUSIVE OFTRIMMING</v>
          </cell>
          <cell r="F1589" t="str">
            <v>CN</v>
          </cell>
          <cell r="G1589" t="str">
            <v>Bonded Shell Straight Leg Pant</v>
          </cell>
          <cell r="H1589">
            <v>47</v>
          </cell>
          <cell r="I1589">
            <v>90</v>
          </cell>
          <cell r="J1589">
            <v>4230</v>
          </cell>
          <cell r="K1589" t="str">
            <v>6203.43.7590</v>
          </cell>
          <cell r="L1589" t="str">
            <v>6203.43.19.00.00</v>
          </cell>
        </row>
        <row r="1590">
          <cell r="B1590" t="str">
            <v>M5240R</v>
          </cell>
          <cell r="C1590" t="str">
            <v>Men's Trousers</v>
          </cell>
          <cell r="D1590" t="str">
            <v>Navy</v>
          </cell>
          <cell r="E1590" t="str">
            <v>100%POLYESTER&gt;EXCLUSIVE OFTRIMMING</v>
          </cell>
          <cell r="F1590" t="str">
            <v>CN</v>
          </cell>
          <cell r="G1590" t="str">
            <v>Bonded Shell Straight Leg Pant</v>
          </cell>
          <cell r="H1590">
            <v>47</v>
          </cell>
          <cell r="I1590">
            <v>45</v>
          </cell>
          <cell r="J1590">
            <v>2115</v>
          </cell>
          <cell r="K1590" t="str">
            <v>6203.43.7590</v>
          </cell>
          <cell r="L1590" t="str">
            <v>6203.43.19.00.00</v>
          </cell>
        </row>
        <row r="1591">
          <cell r="B1591" t="str">
            <v>M5240R</v>
          </cell>
          <cell r="C1591" t="str">
            <v>Men's Trousers</v>
          </cell>
          <cell r="D1591" t="str">
            <v>Lunar Grey</v>
          </cell>
          <cell r="E1591" t="str">
            <v>100%POLYESTER&gt;EXCLUSIVE OFTRIMMING</v>
          </cell>
          <cell r="F1591" t="str">
            <v>CN</v>
          </cell>
          <cell r="G1591" t="str">
            <v>Bonded Shell Straight Leg Pant</v>
          </cell>
          <cell r="H1591">
            <v>47</v>
          </cell>
          <cell r="I1591">
            <v>45</v>
          </cell>
          <cell r="J1591">
            <v>2115</v>
          </cell>
          <cell r="K1591" t="str">
            <v>6203.43.7590</v>
          </cell>
          <cell r="L1591" t="str">
            <v>6203.43.19.00.00</v>
          </cell>
        </row>
        <row r="1592">
          <cell r="B1592" t="str">
            <v>M6174R</v>
          </cell>
          <cell r="C1592" t="str">
            <v>Men's Shorts</v>
          </cell>
          <cell r="D1592" t="str">
            <v>Black</v>
          </cell>
          <cell r="E1592" t="str">
            <v>BODY: 86%POLYESTER 14%ELAST...</v>
          </cell>
          <cell r="F1592" t="str">
            <v>VN</v>
          </cell>
          <cell r="G1592" t="str">
            <v>7" Repetition Pro Short</v>
          </cell>
          <cell r="H1592">
            <v>14.18</v>
          </cell>
          <cell r="I1592">
            <v>70</v>
          </cell>
          <cell r="J1592">
            <v>992.6</v>
          </cell>
          <cell r="K1592" t="str">
            <v>6203.43.9030</v>
          </cell>
          <cell r="L1592" t="str">
            <v>6203.43.19.00.00</v>
          </cell>
        </row>
        <row r="1593">
          <cell r="B1593" t="str">
            <v>M6174R</v>
          </cell>
          <cell r="C1593" t="str">
            <v>Men's Shorts</v>
          </cell>
          <cell r="D1593" t="str">
            <v>Navy</v>
          </cell>
          <cell r="E1593" t="str">
            <v>BODY: 86%POLYESTER 14%ELAST...</v>
          </cell>
          <cell r="F1593" t="str">
            <v>VN</v>
          </cell>
          <cell r="G1593" t="str">
            <v>7" Repetition Pro Short</v>
          </cell>
          <cell r="H1593">
            <v>14.18</v>
          </cell>
          <cell r="I1593">
            <v>80</v>
          </cell>
          <cell r="J1593">
            <v>1134.4000000000001</v>
          </cell>
          <cell r="K1593" t="str">
            <v>6203.43.9030</v>
          </cell>
          <cell r="L1593" t="str">
            <v>6203.43.19.00.00</v>
          </cell>
        </row>
        <row r="1594">
          <cell r="B1594" t="str">
            <v>M6174R</v>
          </cell>
          <cell r="C1594" t="str">
            <v>Men's Shorts</v>
          </cell>
          <cell r="D1594" t="str">
            <v>Lunar Grey</v>
          </cell>
          <cell r="E1594" t="str">
            <v>BODY: 86%POLYESTER 14%ELAST...</v>
          </cell>
          <cell r="F1594" t="str">
            <v>VN</v>
          </cell>
          <cell r="G1594" t="str">
            <v>7" Repetition Pro Short</v>
          </cell>
          <cell r="H1594">
            <v>14.18</v>
          </cell>
          <cell r="I1594">
            <v>67</v>
          </cell>
          <cell r="J1594">
            <v>950.06</v>
          </cell>
          <cell r="K1594" t="str">
            <v>6203.43.9030</v>
          </cell>
          <cell r="L1594" t="str">
            <v>6203.43.19.00.00</v>
          </cell>
        </row>
        <row r="1595">
          <cell r="B1595" t="str">
            <v>W4706R</v>
          </cell>
          <cell r="C1595" t="str">
            <v>Women's Outerwear</v>
          </cell>
          <cell r="D1595" t="str">
            <v>Black/Titanium</v>
          </cell>
          <cell r="E1595" t="str">
            <v>SHELL: 86%POLYESTER 14%ELAST...</v>
          </cell>
          <cell r="F1595" t="str">
            <v>VN</v>
          </cell>
          <cell r="G1595" t="str">
            <v>Crpd Pinstripe Main Character</v>
          </cell>
          <cell r="H1595">
            <v>33.700000000000003</v>
          </cell>
          <cell r="I1595">
            <v>30</v>
          </cell>
          <cell r="J1595">
            <v>1011</v>
          </cell>
          <cell r="K1595" t="str">
            <v>6204.33.5010</v>
          </cell>
          <cell r="L1595" t="str">
            <v>6204.33.90.00.00</v>
          </cell>
        </row>
        <row r="1596">
          <cell r="B1596" t="str">
            <v>W4706R</v>
          </cell>
          <cell r="C1596" t="str">
            <v>Women's Outerwear</v>
          </cell>
          <cell r="D1596" t="str">
            <v>Lunar Grey/White</v>
          </cell>
          <cell r="E1596" t="str">
            <v>SHELL: 86%POLYESTER 14%ELAST...</v>
          </cell>
          <cell r="F1596" t="str">
            <v>VN</v>
          </cell>
          <cell r="G1596" t="str">
            <v>Crpd Pinstripe Main Character</v>
          </cell>
          <cell r="H1596">
            <v>33.700000000000003</v>
          </cell>
          <cell r="I1596">
            <v>14</v>
          </cell>
          <cell r="J1596">
            <v>471.8</v>
          </cell>
          <cell r="K1596" t="str">
            <v>6204.33.5010</v>
          </cell>
          <cell r="L1596" t="str">
            <v>6204.33.90.00.00</v>
          </cell>
        </row>
        <row r="1597">
          <cell r="B1597" t="str">
            <v>W6503R</v>
          </cell>
          <cell r="C1597" t="str">
            <v>Women's Skirts</v>
          </cell>
          <cell r="D1597" t="str">
            <v>Black</v>
          </cell>
          <cell r="E1597" t="str">
            <v>100%POLYESTER&gt;EXCLUSIVE OF TRIMMING</v>
          </cell>
          <cell r="F1597" t="str">
            <v>VN</v>
          </cell>
          <cell r="G1597" t="str">
            <v>Work It Mini Skirt</v>
          </cell>
          <cell r="H1597">
            <v>11.8</v>
          </cell>
          <cell r="I1597">
            <v>33</v>
          </cell>
          <cell r="J1597">
            <v>389.4</v>
          </cell>
          <cell r="K1597" t="str">
            <v>6204.53.3010</v>
          </cell>
          <cell r="L1597" t="str">
            <v>6204.53.00.00.00</v>
          </cell>
        </row>
        <row r="1598">
          <cell r="B1598" t="str">
            <v>W6503R</v>
          </cell>
          <cell r="C1598" t="str">
            <v>Women's Skirts</v>
          </cell>
          <cell r="D1598" t="str">
            <v>Green Olive</v>
          </cell>
          <cell r="E1598" t="str">
            <v>100%POLYESTER&gt;EXCLUSIVE OF TRIMMING</v>
          </cell>
          <cell r="F1598" t="str">
            <v>VN</v>
          </cell>
          <cell r="G1598" t="str">
            <v>Work It Mini Skirt</v>
          </cell>
          <cell r="H1598">
            <v>11.8</v>
          </cell>
          <cell r="I1598">
            <v>29</v>
          </cell>
          <cell r="J1598">
            <v>342.2</v>
          </cell>
          <cell r="K1598" t="str">
            <v>6204.53.3010</v>
          </cell>
          <cell r="L1598" t="str">
            <v>6204.53.00.00.00</v>
          </cell>
        </row>
        <row r="1599">
          <cell r="B1599" t="str">
            <v>W4477R</v>
          </cell>
          <cell r="C1599" t="str">
            <v>Women's Vests</v>
          </cell>
          <cell r="D1599" t="str">
            <v>Black</v>
          </cell>
          <cell r="E1599" t="str">
            <v>SHELL &amp; LINING: 100%POLYESTER...</v>
          </cell>
          <cell r="F1599" t="str">
            <v>VN</v>
          </cell>
          <cell r="G1599" t="str">
            <v>In Motion Vest</v>
          </cell>
          <cell r="H1599">
            <v>20.91</v>
          </cell>
          <cell r="I1599">
            <v>55</v>
          </cell>
          <cell r="J1599">
            <v>1150.05</v>
          </cell>
          <cell r="K1599" t="str">
            <v>6211.43.1076</v>
          </cell>
          <cell r="L1599" t="str">
            <v>6211.43.41.00.00</v>
          </cell>
        </row>
        <row r="1600">
          <cell r="B1600" t="str">
            <v>W3956R</v>
          </cell>
          <cell r="C1600" t="str">
            <v>Women's Outerwear</v>
          </cell>
          <cell r="D1600" t="str">
            <v>Black</v>
          </cell>
          <cell r="E1600" t="str">
            <v>76%NYLON 24%POLYESTER</v>
          </cell>
          <cell r="F1600" t="str">
            <v>VN</v>
          </cell>
          <cell r="G1600" t="str">
            <v>Game Time Full Zip Jacket</v>
          </cell>
          <cell r="H1600">
            <v>24.42</v>
          </cell>
          <cell r="I1600">
            <v>20</v>
          </cell>
          <cell r="J1600">
            <v>488.4</v>
          </cell>
          <cell r="K1600" t="str">
            <v>6211.43.1078</v>
          </cell>
          <cell r="L1600" t="str">
            <v>6211.43.41.00.00</v>
          </cell>
        </row>
        <row r="1601">
          <cell r="B1601" t="str">
            <v>AMDNGH1081</v>
          </cell>
          <cell r="E1601" t="str">
            <v>100% COTTON</v>
          </cell>
          <cell r="F1601" t="str">
            <v>IT</v>
          </cell>
          <cell r="G1601" t="str">
            <v>BLEACH BANDANA CARPENTER JEAN</v>
          </cell>
          <cell r="H1601">
            <v>188.01930000000002</v>
          </cell>
          <cell r="I1601">
            <v>7</v>
          </cell>
          <cell r="J1601">
            <v>1316.1351000000002</v>
          </cell>
          <cell r="K1601" t="str">
            <v>6203424518</v>
          </cell>
          <cell r="L1601" t="str">
            <v>6203.42.31.00.00</v>
          </cell>
        </row>
        <row r="1602">
          <cell r="B1602" t="str">
            <v>AMDNTR1025</v>
          </cell>
          <cell r="E1602" t="str">
            <v>100% COTTON</v>
          </cell>
          <cell r="F1602" t="str">
            <v>IT</v>
          </cell>
          <cell r="G1602" t="str">
            <v>BLEACH BANDANA OS DENIM JACKET</v>
          </cell>
          <cell r="H1602">
            <v>209.02665000000002</v>
          </cell>
          <cell r="I1602">
            <v>5</v>
          </cell>
          <cell r="J1602">
            <v>1045.1332500000001</v>
          </cell>
          <cell r="K1602" t="str">
            <v>6201308051</v>
          </cell>
          <cell r="L1602" t="str">
            <v>6201.30.10.00.12</v>
          </cell>
        </row>
        <row r="1603">
          <cell r="B1603" t="str">
            <v>AMDNWJ1014</v>
          </cell>
          <cell r="E1603" t="str">
            <v>100% COTTON</v>
          </cell>
          <cell r="F1603" t="str">
            <v>IT</v>
          </cell>
          <cell r="G1603" t="str">
            <v>DENIM REPAIR WORK JACKET</v>
          </cell>
          <cell r="H1603">
            <v>278.35290000000003</v>
          </cell>
          <cell r="I1603">
            <v>3</v>
          </cell>
          <cell r="J1603">
            <v>835.05870000000004</v>
          </cell>
          <cell r="K1603" t="str">
            <v>6201308051</v>
          </cell>
          <cell r="L1603" t="str">
            <v>6201.30.10.00.12</v>
          </cell>
        </row>
        <row r="1604">
          <cell r="B1604" t="str">
            <v>AMFOSR1101</v>
          </cell>
          <cell r="E1604" t="str">
            <v>UPPER :100% BOVINE LEATHER, Lining: 100% POLYESTER, Outsole:100% RUBBER</v>
          </cell>
          <cell r="F1604" t="str">
            <v>VN</v>
          </cell>
          <cell r="G1604" t="str">
            <v>CLASSIC LOW</v>
          </cell>
          <cell r="H1604">
            <v>85.316700000000012</v>
          </cell>
          <cell r="I1604">
            <v>4</v>
          </cell>
          <cell r="J1604">
            <v>341.26680000000005</v>
          </cell>
          <cell r="K1604" t="str">
            <v>6403996040</v>
          </cell>
          <cell r="L1604" t="str">
            <v>6403.99.93.00.00</v>
          </cell>
        </row>
        <row r="1605">
          <cell r="B1605" t="str">
            <v>AMFOSR1147</v>
          </cell>
          <cell r="E1605" t="str">
            <v>UPPER :85% POLYESTER+15% NYLON, Lining: 100% OVINE LEATHER, Outsole:100% RUBBER</v>
          </cell>
          <cell r="F1605" t="str">
            <v>VN</v>
          </cell>
          <cell r="G1605" t="str">
            <v>MA QUAD COURT HI</v>
          </cell>
          <cell r="H1605">
            <v>97.306650000000005</v>
          </cell>
          <cell r="I1605">
            <v>5</v>
          </cell>
          <cell r="J1605">
            <v>486.53325000000001</v>
          </cell>
          <cell r="K1605" t="str">
            <v>6404199030</v>
          </cell>
          <cell r="L1605" t="str">
            <v>6404.19.10.00.00</v>
          </cell>
        </row>
        <row r="1606">
          <cell r="B1606" t="str">
            <v>AMFOSR1158</v>
          </cell>
          <cell r="E1606" t="str">
            <v>UPPER :100% BOVINE LEATHER, Lining: 100% POLYESTER, Outsole:100% RUBBER</v>
          </cell>
          <cell r="F1606" t="str">
            <v>VN</v>
          </cell>
          <cell r="G1606" t="str">
            <v>CLASSIC LOW</v>
          </cell>
          <cell r="H1606">
            <v>87.211950000000002</v>
          </cell>
          <cell r="I1606">
            <v>8</v>
          </cell>
          <cell r="J1606">
            <v>697.69560000000001</v>
          </cell>
          <cell r="K1606" t="str">
            <v>6403996075</v>
          </cell>
          <cell r="L1606" t="str">
            <v>6403.99.93.00.00</v>
          </cell>
        </row>
        <row r="1607">
          <cell r="B1607" t="str">
            <v>AMHATR1030</v>
          </cell>
          <cell r="E1607" t="str">
            <v>100% CANVAS</v>
          </cell>
          <cell r="F1607" t="str">
            <v>IT</v>
          </cell>
          <cell r="G1607" t="str">
            <v>MA TWO TONE TRUCKER HAT</v>
          </cell>
          <cell r="H1607">
            <v>58.822749999999999</v>
          </cell>
          <cell r="I1607">
            <v>3</v>
          </cell>
          <cell r="J1607">
            <v>176.46825000000001</v>
          </cell>
          <cell r="K1607" t="str">
            <v>6505002590</v>
          </cell>
          <cell r="L1607" t="str">
            <v>6505.00.30.00.00</v>
          </cell>
        </row>
        <row r="1608">
          <cell r="B1608" t="str">
            <v>AMHATR1031</v>
          </cell>
          <cell r="E1608" t="str">
            <v>100% COTTON</v>
          </cell>
          <cell r="F1608" t="str">
            <v>IT</v>
          </cell>
          <cell r="G1608" t="str">
            <v>STATION PATCH TRUCKER HAT</v>
          </cell>
          <cell r="H1608">
            <v>35.710499999999996</v>
          </cell>
          <cell r="I1608">
            <v>3</v>
          </cell>
          <cell r="J1608">
            <v>107.13149999999999</v>
          </cell>
          <cell r="K1608" t="str">
            <v>6505002590</v>
          </cell>
          <cell r="L1608" t="str">
            <v>6505.00.30.00.00</v>
          </cell>
        </row>
        <row r="1609">
          <cell r="B1609" t="str">
            <v>AMJYHD1118</v>
          </cell>
          <cell r="E1609" t="str">
            <v>100% COTTON</v>
          </cell>
          <cell r="F1609" t="str">
            <v>IT</v>
          </cell>
          <cell r="G1609" t="str">
            <v>AMIRI SPIRIT ZIP HOODIE</v>
          </cell>
          <cell r="H1609">
            <v>92.428349999999995</v>
          </cell>
          <cell r="I1609">
            <v>5</v>
          </cell>
          <cell r="J1609">
            <v>462.14175</v>
          </cell>
          <cell r="K1609" t="str">
            <v>6110202069</v>
          </cell>
          <cell r="L1609" t="str">
            <v>6110.20.10.00.00</v>
          </cell>
        </row>
        <row r="1610">
          <cell r="B1610" t="str">
            <v>AMJYHD1132</v>
          </cell>
          <cell r="E1610" t="str">
            <v>100% COTTON</v>
          </cell>
          <cell r="F1610" t="str">
            <v>IT</v>
          </cell>
          <cell r="G1610" t="str">
            <v>AMIRI HOLLYWOOD ZIP HOODIE</v>
          </cell>
          <cell r="H1610">
            <v>116.5878</v>
          </cell>
          <cell r="I1610">
            <v>1</v>
          </cell>
          <cell r="J1610">
            <v>116.5878</v>
          </cell>
          <cell r="K1610" t="str">
            <v>6110202069</v>
          </cell>
          <cell r="L1610" t="str">
            <v>6110.20.10.00.00</v>
          </cell>
        </row>
        <row r="1611">
          <cell r="B1611" t="str">
            <v>AMJYPO1009</v>
          </cell>
          <cell r="E1611" t="str">
            <v>100% COTTON</v>
          </cell>
          <cell r="F1611" t="str">
            <v>IT</v>
          </cell>
          <cell r="G1611" t="str">
            <v>MA CORE LOGO POLO</v>
          </cell>
          <cell r="H1611">
            <v>54.862499999999997</v>
          </cell>
          <cell r="I1611">
            <v>2</v>
          </cell>
          <cell r="J1611">
            <v>109.72499999999999</v>
          </cell>
          <cell r="K1611" t="str">
            <v>6105100010</v>
          </cell>
          <cell r="L1611" t="str">
            <v>6105.10.00.00.00</v>
          </cell>
        </row>
        <row r="1612">
          <cell r="B1612" t="str">
            <v>AMJYTE1075</v>
          </cell>
          <cell r="E1612" t="str">
            <v>100% COTTON</v>
          </cell>
          <cell r="F1612" t="str">
            <v>IT</v>
          </cell>
          <cell r="G1612" t="str">
            <v>BONES STACKED TEE</v>
          </cell>
          <cell r="H1612">
            <v>32.558399999999999</v>
          </cell>
          <cell r="I1612">
            <v>3</v>
          </cell>
          <cell r="J1612">
            <v>97.67519999999999</v>
          </cell>
          <cell r="K1612" t="str">
            <v>6109100012</v>
          </cell>
          <cell r="L1612" t="str">
            <v>6109.10.00.00.00</v>
          </cell>
        </row>
        <row r="1613">
          <cell r="B1613" t="str">
            <v>AMJYTE1197</v>
          </cell>
          <cell r="E1613" t="str">
            <v>100% COTTON</v>
          </cell>
          <cell r="F1613" t="str">
            <v>IT</v>
          </cell>
          <cell r="G1613" t="str">
            <v>BLEACH BANDANA PATCH TEE</v>
          </cell>
          <cell r="H1613">
            <v>50.942850000000007</v>
          </cell>
          <cell r="I1613">
            <v>12</v>
          </cell>
          <cell r="J1613">
            <v>611.31420000000003</v>
          </cell>
          <cell r="K1613" t="str">
            <v>6109100012</v>
          </cell>
          <cell r="L1613" t="str">
            <v>6109.10.00.00.00</v>
          </cell>
        </row>
        <row r="1614">
          <cell r="B1614" t="str">
            <v>AMJYTE1205</v>
          </cell>
          <cell r="E1614" t="str">
            <v>100% COTTON</v>
          </cell>
          <cell r="F1614" t="str">
            <v>IT</v>
          </cell>
          <cell r="G1614" t="str">
            <v>MA OUTLINE OVERSIZED TEE</v>
          </cell>
          <cell r="H1614">
            <v>60.917850000000001</v>
          </cell>
          <cell r="I1614">
            <v>6</v>
          </cell>
          <cell r="J1614">
            <v>365.50710000000004</v>
          </cell>
          <cell r="K1614" t="str">
            <v>6109100012</v>
          </cell>
          <cell r="L1614" t="str">
            <v>6109.10.00.00.00</v>
          </cell>
        </row>
        <row r="1615">
          <cell r="B1615" t="str">
            <v>AMJYTE1207</v>
          </cell>
          <cell r="E1615" t="str">
            <v>100% COTTON</v>
          </cell>
          <cell r="F1615" t="str">
            <v>IT</v>
          </cell>
          <cell r="G1615" t="str">
            <v>AMIRI NIGHTS OVERSIZED TEE</v>
          </cell>
          <cell r="H1615">
            <v>63.551249999999996</v>
          </cell>
          <cell r="I1615">
            <v>6</v>
          </cell>
          <cell r="J1615">
            <v>381.3075</v>
          </cell>
          <cell r="K1615" t="str">
            <v>6109100012</v>
          </cell>
          <cell r="L1615" t="str">
            <v>6109.10.00.00.00</v>
          </cell>
        </row>
        <row r="1616">
          <cell r="B1616" t="str">
            <v>AMJYTE1221</v>
          </cell>
          <cell r="E1616" t="str">
            <v>100% COTTON</v>
          </cell>
          <cell r="F1616" t="str">
            <v>IT</v>
          </cell>
          <cell r="G1616" t="str">
            <v>SINNERS OVERSIZED TEE</v>
          </cell>
          <cell r="H1616">
            <v>76.149149999999992</v>
          </cell>
          <cell r="I1616">
            <v>3</v>
          </cell>
          <cell r="J1616">
            <v>228.44744999999998</v>
          </cell>
          <cell r="K1616" t="str">
            <v>6109100012</v>
          </cell>
          <cell r="L1616" t="str">
            <v>6109.10.00.00.00</v>
          </cell>
        </row>
        <row r="1617">
          <cell r="B1617" t="str">
            <v>AMJYTE1229</v>
          </cell>
          <cell r="E1617" t="str">
            <v>100% COTTON</v>
          </cell>
          <cell r="F1617" t="str">
            <v>IT</v>
          </cell>
          <cell r="G1617" t="str">
            <v>AMIRI BULL OVERSIZED TEE</v>
          </cell>
          <cell r="H1617">
            <v>60.917850000000001</v>
          </cell>
          <cell r="I1617">
            <v>5</v>
          </cell>
          <cell r="J1617">
            <v>304.58924999999999</v>
          </cell>
          <cell r="K1617" t="str">
            <v>6109100012</v>
          </cell>
          <cell r="L1617" t="str">
            <v>6109.10.00.00.00</v>
          </cell>
        </row>
        <row r="1618">
          <cell r="B1618" t="str">
            <v>AMJYTE1233</v>
          </cell>
          <cell r="E1618" t="str">
            <v>100%CO</v>
          </cell>
          <cell r="F1618" t="str">
            <v>IT</v>
          </cell>
          <cell r="G1618" t="str">
            <v>MA SKATER TEE</v>
          </cell>
          <cell r="H1618">
            <v>39.910499999999999</v>
          </cell>
          <cell r="I1618">
            <v>4</v>
          </cell>
          <cell r="J1618">
            <v>159.642</v>
          </cell>
          <cell r="K1618" t="str">
            <v>6109100012</v>
          </cell>
          <cell r="L1618" t="str">
            <v>6109.10.00.00.00</v>
          </cell>
        </row>
        <row r="1619">
          <cell r="B1619" t="str">
            <v>AMJYTE1234</v>
          </cell>
          <cell r="E1619" t="str">
            <v>100% COTTON</v>
          </cell>
          <cell r="F1619" t="str">
            <v>IT</v>
          </cell>
          <cell r="G1619" t="str">
            <v>CRYSTAL AMIRI WINGS OS TEE</v>
          </cell>
          <cell r="H1619">
            <v>99.261749999999992</v>
          </cell>
          <cell r="I1619">
            <v>2</v>
          </cell>
          <cell r="J1619">
            <v>198.52349999999998</v>
          </cell>
          <cell r="K1619" t="str">
            <v>6109100012</v>
          </cell>
          <cell r="L1619" t="str">
            <v>6109.10.00.00.00</v>
          </cell>
        </row>
        <row r="1620">
          <cell r="B1620" t="str">
            <v>AMJYTE1270</v>
          </cell>
          <cell r="E1620" t="str">
            <v>100% COTTON</v>
          </cell>
          <cell r="F1620" t="str">
            <v>IT</v>
          </cell>
          <cell r="G1620" t="str">
            <v>HOLLYWOOD DREAMERS TEE</v>
          </cell>
          <cell r="H1620">
            <v>79.30125000000001</v>
          </cell>
          <cell r="I1620">
            <v>7</v>
          </cell>
          <cell r="J1620">
            <v>555.1087500000001</v>
          </cell>
          <cell r="K1620" t="str">
            <v>6109100012</v>
          </cell>
          <cell r="L1620" t="str">
            <v>6109.10.00.00.00</v>
          </cell>
        </row>
        <row r="1621">
          <cell r="B1621" t="str">
            <v>AMKNIR1025</v>
          </cell>
          <cell r="E1621" t="str">
            <v>92% POLYESTER 8% VISCOSE</v>
          </cell>
          <cell r="F1621" t="str">
            <v>IT</v>
          </cell>
          <cell r="G1621" t="str">
            <v>AMIRI SCRIPT STRIPE SHIRT</v>
          </cell>
          <cell r="H1621">
            <v>140.74724999999998</v>
          </cell>
          <cell r="I1621">
            <v>4</v>
          </cell>
          <cell r="J1621">
            <v>562.98899999999992</v>
          </cell>
          <cell r="K1621" t="str">
            <v>6105202010</v>
          </cell>
          <cell r="L1621" t="str">
            <v>6105.20.10.00.00</v>
          </cell>
        </row>
        <row r="1622">
          <cell r="B1622" t="str">
            <v>AMKNIR1026</v>
          </cell>
          <cell r="E1622" t="str">
            <v>70% VISCOSE 30% POLYESTER</v>
          </cell>
          <cell r="F1622" t="str">
            <v>IT</v>
          </cell>
          <cell r="G1622" t="str">
            <v>AMIRI SCRIPT STRIPE SHIRT</v>
          </cell>
          <cell r="H1622">
            <v>151.25145000000001</v>
          </cell>
          <cell r="I1622">
            <v>3</v>
          </cell>
          <cell r="J1622">
            <v>453.75435000000004</v>
          </cell>
          <cell r="K1622" t="str">
            <v>6105202010</v>
          </cell>
          <cell r="L1622" t="str">
            <v>6105.20.10.00.00</v>
          </cell>
        </row>
        <row r="1623">
          <cell r="B1623" t="str">
            <v>AMOUBB1066</v>
          </cell>
          <cell r="E1623" t="str">
            <v>75% WOOL 25% POLYAMIDE</v>
          </cell>
          <cell r="F1623" t="str">
            <v>IT</v>
          </cell>
          <cell r="G1623" t="str">
            <v>AMIRI HOLLYWOOD BOMBER</v>
          </cell>
          <cell r="H1623">
            <v>313.00605000000002</v>
          </cell>
          <cell r="I1623">
            <v>3</v>
          </cell>
          <cell r="J1623">
            <v>939.01815000000011</v>
          </cell>
          <cell r="K1623" t="str">
            <v>6201204011</v>
          </cell>
          <cell r="L1623" t="str">
            <v>6201.20.00.00.00</v>
          </cell>
        </row>
        <row r="1624">
          <cell r="B1624" t="str">
            <v>AMOUBB1067</v>
          </cell>
          <cell r="E1624" t="str">
            <v>54% POLYAMIDE  46% COTTON</v>
          </cell>
          <cell r="F1624" t="str">
            <v>IT</v>
          </cell>
          <cell r="G1624" t="str">
            <v>HOLLYWOOD DREAMERS BOMBER</v>
          </cell>
          <cell r="H1624">
            <v>341.37495000000001</v>
          </cell>
          <cell r="I1624">
            <v>5</v>
          </cell>
          <cell r="J1624">
            <v>1706.8747499999999</v>
          </cell>
          <cell r="K1624" t="str">
            <v>6201407511</v>
          </cell>
          <cell r="L1624" t="str">
            <v>6201.40.90.00.11</v>
          </cell>
        </row>
        <row r="1625">
          <cell r="B1625" t="str">
            <v>AMOULW1039</v>
          </cell>
          <cell r="E1625" t="str">
            <v>100% NYLON</v>
          </cell>
          <cell r="F1625" t="str">
            <v>IT</v>
          </cell>
          <cell r="G1625" t="str">
            <v>MA QUAD WINDBREAKER</v>
          </cell>
          <cell r="H1625">
            <v>231.08085</v>
          </cell>
          <cell r="I1625">
            <v>5</v>
          </cell>
          <cell r="J1625">
            <v>1155.40425</v>
          </cell>
          <cell r="K1625" t="str">
            <v>6201407511</v>
          </cell>
          <cell r="L1625" t="str">
            <v>6201.40.90.00.11</v>
          </cell>
        </row>
        <row r="1626">
          <cell r="B1626" t="str">
            <v>AMOUTJ1011</v>
          </cell>
          <cell r="E1626" t="str">
            <v>48% COTTON 52% POLYESTER</v>
          </cell>
          <cell r="F1626" t="str">
            <v>IT</v>
          </cell>
          <cell r="G1626" t="str">
            <v>LOUNGE TRACK JACKET</v>
          </cell>
          <cell r="H1626">
            <v>114.49305</v>
          </cell>
          <cell r="I1626">
            <v>12</v>
          </cell>
          <cell r="J1626">
            <v>1373.9166</v>
          </cell>
          <cell r="K1626" t="str">
            <v>6201407511</v>
          </cell>
          <cell r="L1626" t="str">
            <v>6201.40.90.00.11</v>
          </cell>
        </row>
        <row r="1627">
          <cell r="B1627" t="str">
            <v>AMOUVY1014</v>
          </cell>
          <cell r="E1627" t="str">
            <v>75% WOOL 25% POLYAMIDE</v>
          </cell>
          <cell r="F1627" t="str">
            <v>IT</v>
          </cell>
          <cell r="G1627" t="str">
            <v>MA BAND JACKET</v>
          </cell>
          <cell r="H1627">
            <v>267.84870000000001</v>
          </cell>
          <cell r="I1627">
            <v>3</v>
          </cell>
          <cell r="J1627">
            <v>803.54610000000002</v>
          </cell>
          <cell r="K1627" t="str">
            <v>6201204011</v>
          </cell>
          <cell r="L1627" t="str">
            <v>6201.20.00.00.00</v>
          </cell>
        </row>
        <row r="1628">
          <cell r="B1628" t="str">
            <v>AMPATP1022</v>
          </cell>
          <cell r="E1628" t="str">
            <v>48% COTTON 52% POLYESTER</v>
          </cell>
          <cell r="F1628" t="str">
            <v>IT</v>
          </cell>
          <cell r="G1628" t="str">
            <v>LOUNGE TRACK PANT</v>
          </cell>
          <cell r="H1628">
            <v>87.710700000000003</v>
          </cell>
          <cell r="I1628">
            <v>8</v>
          </cell>
          <cell r="J1628">
            <v>701.68560000000002</v>
          </cell>
          <cell r="K1628" t="str">
            <v>6112120050</v>
          </cell>
          <cell r="L1628" t="str">
            <v>6112.12.00.00.00</v>
          </cell>
        </row>
        <row r="1629">
          <cell r="B1629" t="str">
            <v>AMSHCA1094</v>
          </cell>
          <cell r="E1629" t="str">
            <v>40% COTTON 27% POLYESTER 24% WOOL 9% NYLON</v>
          </cell>
          <cell r="F1629" t="str">
            <v>IT</v>
          </cell>
          <cell r="G1629" t="str">
            <v>MA QUAD BOUCLE SHORT</v>
          </cell>
          <cell r="H1629">
            <v>149.1567</v>
          </cell>
          <cell r="I1629">
            <v>2</v>
          </cell>
          <cell r="J1629">
            <v>298.3134</v>
          </cell>
          <cell r="K1629" t="str">
            <v>6203439030</v>
          </cell>
          <cell r="L1629" t="str">
            <v>6203.43.19.00.00</v>
          </cell>
        </row>
        <row r="1630">
          <cell r="B1630" t="str">
            <v>AMSHCA1106</v>
          </cell>
          <cell r="E1630" t="str">
            <v>100% SILK</v>
          </cell>
          <cell r="F1630" t="str">
            <v>IT</v>
          </cell>
          <cell r="G1630" t="str">
            <v>BLEACH BANDANA SHORT</v>
          </cell>
          <cell r="H1630">
            <v>120.89700000000001</v>
          </cell>
          <cell r="I1630">
            <v>7</v>
          </cell>
          <cell r="J1630">
            <v>846.279</v>
          </cell>
          <cell r="K1630" t="str">
            <v>6203496030</v>
          </cell>
          <cell r="L1630" t="str">
            <v>6203.43.19.00.00</v>
          </cell>
        </row>
        <row r="1631">
          <cell r="B1631" t="str">
            <v>AMSHCA1107</v>
          </cell>
          <cell r="E1631" t="str">
            <v>100% VISCOSE</v>
          </cell>
          <cell r="F1631" t="str">
            <v>IT</v>
          </cell>
          <cell r="G1631" t="str">
            <v>PARADISE SHORT</v>
          </cell>
          <cell r="H1631">
            <v>122.36385000000001</v>
          </cell>
          <cell r="I1631">
            <v>2</v>
          </cell>
          <cell r="J1631">
            <v>244.72770000000003</v>
          </cell>
          <cell r="K1631" t="str">
            <v>6203495045</v>
          </cell>
          <cell r="L1631" t="str">
            <v>6203.49.50.00.00</v>
          </cell>
        </row>
        <row r="1632">
          <cell r="B1632" t="str">
            <v>AMSTCA1159</v>
          </cell>
          <cell r="E1632" t="str">
            <v>100% SILK</v>
          </cell>
          <cell r="F1632" t="str">
            <v>IT</v>
          </cell>
          <cell r="G1632" t="str">
            <v>BLEACH BANDANA BOWLING SHIRT</v>
          </cell>
          <cell r="H1632">
            <v>125.72490000000001</v>
          </cell>
          <cell r="I1632">
            <v>4</v>
          </cell>
          <cell r="J1632">
            <v>502.89960000000002</v>
          </cell>
          <cell r="K1632" t="str">
            <v>6205901000</v>
          </cell>
          <cell r="L1632" t="str">
            <v>6205.90.80.00.11</v>
          </cell>
        </row>
        <row r="1633">
          <cell r="B1633" t="str">
            <v>AMSTCA1170</v>
          </cell>
          <cell r="E1633" t="str">
            <v>100% COTTON</v>
          </cell>
          <cell r="F1633" t="str">
            <v>IT</v>
          </cell>
          <cell r="G1633" t="str">
            <v>AMIRI POCKET LS SHIRT</v>
          </cell>
          <cell r="H1633">
            <v>92.957550000000012</v>
          </cell>
          <cell r="I1633">
            <v>4</v>
          </cell>
          <cell r="J1633">
            <v>371.83020000000005</v>
          </cell>
          <cell r="K1633" t="str">
            <v>6205202067</v>
          </cell>
          <cell r="L1633" t="str">
            <v>6205.20.00.00.18</v>
          </cell>
        </row>
        <row r="1634">
          <cell r="B1634" t="str">
            <v>AMSTFL1014</v>
          </cell>
          <cell r="E1634" t="str">
            <v>100% COTTON</v>
          </cell>
          <cell r="F1634" t="str">
            <v>IT</v>
          </cell>
          <cell r="G1634" t="str">
            <v>MA QUAD BLEACH FLANNEL</v>
          </cell>
          <cell r="H1634">
            <v>149.6754</v>
          </cell>
          <cell r="I1634">
            <v>9</v>
          </cell>
          <cell r="J1634">
            <v>1347.0786000000001</v>
          </cell>
          <cell r="K1634" t="str">
            <v>6205202067</v>
          </cell>
          <cell r="L1634" t="str">
            <v>6205.20.00.00.18</v>
          </cell>
        </row>
        <row r="1635">
          <cell r="B1635" t="str">
            <v>AMSUFP1070</v>
          </cell>
          <cell r="E1635" t="str">
            <v>100% WOOL</v>
          </cell>
          <cell r="F1635" t="str">
            <v>IT</v>
          </cell>
          <cell r="G1635" t="str">
            <v>MA FLARE</v>
          </cell>
          <cell r="H1635">
            <v>157.55564999999999</v>
          </cell>
          <cell r="I1635">
            <v>3</v>
          </cell>
          <cell r="J1635">
            <v>472.66694999999993</v>
          </cell>
          <cell r="K1635" t="str">
            <v>6203416010</v>
          </cell>
          <cell r="L1635" t="str">
            <v>6203.41.10.00.00</v>
          </cell>
        </row>
        <row r="1636">
          <cell r="B1636" t="str">
            <v>AWJYRS1009</v>
          </cell>
          <cell r="E1636" t="str">
            <v>80% COTTON 20% POLYAMIDE</v>
          </cell>
          <cell r="F1636" t="str">
            <v>IT</v>
          </cell>
          <cell r="G1636" t="str">
            <v>MA QUAD TOWELING DRESS</v>
          </cell>
          <cell r="H1636">
            <v>68.27940000000001</v>
          </cell>
          <cell r="I1636">
            <v>2</v>
          </cell>
          <cell r="J1636">
            <v>136.55880000000002</v>
          </cell>
          <cell r="K1636" t="str">
            <v>6104420010</v>
          </cell>
          <cell r="L1636" t="str">
            <v>6104.42.00.00.00</v>
          </cell>
        </row>
        <row r="1637">
          <cell r="B1637" t="str">
            <v>AWJYTE1070</v>
          </cell>
          <cell r="E1637" t="str">
            <v>100% COTTON</v>
          </cell>
          <cell r="F1637" t="str">
            <v>IT</v>
          </cell>
          <cell r="G1637" t="str">
            <v>FOLLOW ME OS TEE</v>
          </cell>
          <cell r="H1637">
            <v>61.7652</v>
          </cell>
          <cell r="I1637">
            <v>4</v>
          </cell>
          <cell r="J1637">
            <v>247.0608</v>
          </cell>
          <cell r="K1637" t="str">
            <v>6109100040</v>
          </cell>
          <cell r="L1637" t="str">
            <v>6109.10.00.00.00</v>
          </cell>
        </row>
        <row r="1638">
          <cell r="B1638" t="str">
            <v>AWPACA1021</v>
          </cell>
          <cell r="E1638" t="str">
            <v>100% SILK</v>
          </cell>
          <cell r="F1638" t="str">
            <v>IT</v>
          </cell>
          <cell r="G1638" t="str">
            <v>PARADISE PANT</v>
          </cell>
          <cell r="H1638">
            <v>167.01194999999998</v>
          </cell>
          <cell r="I1638">
            <v>4</v>
          </cell>
          <cell r="J1638">
            <v>668.04779999999994</v>
          </cell>
          <cell r="K1638" t="str">
            <v>6204694510</v>
          </cell>
          <cell r="L1638" t="str">
            <v>6204.69.18.00.00</v>
          </cell>
        </row>
      </sheetData>
      <sheetData sheetId="4">
        <row r="2">
          <cell r="A2" t="str">
            <v>4202.21.00.00.00</v>
          </cell>
          <cell r="B2" t="str">
            <v>X</v>
          </cell>
          <cell r="C2" t="str">
            <v>X</v>
          </cell>
          <cell r="D2">
            <v>0.03</v>
          </cell>
          <cell r="E2">
            <v>0.3</v>
          </cell>
          <cell r="F2">
            <v>0.06</v>
          </cell>
          <cell r="G2">
            <v>0.1</v>
          </cell>
          <cell r="H2" t="str">
            <v>X</v>
          </cell>
          <cell r="I2" t="str">
            <v>EL ÇANTALARI</v>
          </cell>
          <cell r="J2" t="str">
            <v>AD</v>
          </cell>
        </row>
        <row r="3">
          <cell r="A3" t="str">
            <v>4202.22.90.90.00</v>
          </cell>
          <cell r="B3" t="str">
            <v>X</v>
          </cell>
          <cell r="C3" t="str">
            <v>X</v>
          </cell>
          <cell r="D3">
            <v>3.6999999999999998E-2</v>
          </cell>
          <cell r="E3">
            <v>0.3</v>
          </cell>
          <cell r="F3">
            <v>0.06</v>
          </cell>
          <cell r="G3">
            <v>0.1</v>
          </cell>
          <cell r="H3">
            <v>0</v>
          </cell>
          <cell r="I3" t="str">
            <v>EL ÇANTALARI</v>
          </cell>
          <cell r="J3" t="str">
            <v>AD</v>
          </cell>
        </row>
        <row r="4">
          <cell r="A4" t="str">
            <v>4202.31.00.00.00</v>
          </cell>
          <cell r="B4" t="str">
            <v>x</v>
          </cell>
          <cell r="C4" t="str">
            <v>x</v>
          </cell>
          <cell r="D4">
            <v>0.03</v>
          </cell>
          <cell r="E4">
            <v>0.3</v>
          </cell>
          <cell r="F4">
            <v>0.06</v>
          </cell>
          <cell r="G4">
            <v>0.2</v>
          </cell>
          <cell r="H4" t="str">
            <v>x</v>
          </cell>
          <cell r="I4" t="str">
            <v>DERİ EŞYA CÜZDAN</v>
          </cell>
          <cell r="J4" t="str">
            <v>AD</v>
          </cell>
        </row>
        <row r="5">
          <cell r="A5" t="str">
            <v>4202.92.11.00.00</v>
          </cell>
          <cell r="B5" t="str">
            <v>X</v>
          </cell>
          <cell r="C5">
            <v>0</v>
          </cell>
          <cell r="D5">
            <v>9.7000000000000003E-2</v>
          </cell>
          <cell r="E5">
            <v>0.3</v>
          </cell>
          <cell r="F5">
            <v>0.06</v>
          </cell>
          <cell r="G5">
            <v>0.1</v>
          </cell>
          <cell r="H5">
            <v>0</v>
          </cell>
          <cell r="I5" t="str">
            <v>ÇANTA</v>
          </cell>
          <cell r="J5" t="str">
            <v>AD</v>
          </cell>
        </row>
        <row r="6">
          <cell r="A6" t="str">
            <v>4202.92.15.00.00</v>
          </cell>
          <cell r="B6" t="str">
            <v>X</v>
          </cell>
          <cell r="C6" t="str">
            <v>X</v>
          </cell>
          <cell r="D6">
            <v>6.7000000000000004E-2</v>
          </cell>
          <cell r="E6">
            <v>0.3</v>
          </cell>
          <cell r="F6">
            <v>0.06</v>
          </cell>
          <cell r="G6">
            <v>0.1</v>
          </cell>
          <cell r="H6">
            <v>0</v>
          </cell>
          <cell r="I6" t="str">
            <v>ÇANTA</v>
          </cell>
          <cell r="J6" t="str">
            <v>AD</v>
          </cell>
        </row>
        <row r="7">
          <cell r="A7" t="str">
            <v>4202.92.19.00.00</v>
          </cell>
          <cell r="B7" t="str">
            <v>X</v>
          </cell>
          <cell r="C7">
            <v>0</v>
          </cell>
          <cell r="D7">
            <v>9.7000000000000003E-2</v>
          </cell>
          <cell r="E7">
            <v>0.39</v>
          </cell>
          <cell r="F7">
            <v>0.06</v>
          </cell>
          <cell r="G7">
            <v>0.1</v>
          </cell>
          <cell r="H7">
            <v>0</v>
          </cell>
          <cell r="I7" t="str">
            <v>ÇANTA</v>
          </cell>
          <cell r="J7" t="str">
            <v>AD</v>
          </cell>
        </row>
        <row r="8">
          <cell r="A8" t="str">
            <v>4202.92.98.90.00</v>
          </cell>
          <cell r="B8" t="str">
            <v>X</v>
          </cell>
          <cell r="C8">
            <v>0</v>
          </cell>
          <cell r="D8">
            <v>2.7E-2</v>
          </cell>
          <cell r="E8">
            <v>0.3</v>
          </cell>
          <cell r="F8">
            <v>0.06</v>
          </cell>
          <cell r="G8">
            <v>0.1</v>
          </cell>
          <cell r="H8">
            <v>0</v>
          </cell>
          <cell r="I8" t="str">
            <v>ÇANTA</v>
          </cell>
          <cell r="J8" t="str">
            <v>AD</v>
          </cell>
        </row>
        <row r="9">
          <cell r="A9" t="str">
            <v>4421.10.00.00.00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0.06</v>
          </cell>
          <cell r="G9">
            <v>0.2</v>
          </cell>
          <cell r="H9">
            <v>0</v>
          </cell>
          <cell r="I9" t="str">
            <v>ASKI</v>
          </cell>
          <cell r="J9" t="str">
            <v>AD</v>
          </cell>
        </row>
        <row r="10">
          <cell r="A10" t="str">
            <v>6101.20.10.00.00</v>
          </cell>
          <cell r="B10" t="str">
            <v>X</v>
          </cell>
          <cell r="C10">
            <v>0</v>
          </cell>
          <cell r="D10">
            <v>0.12</v>
          </cell>
          <cell r="E10">
            <v>0.39</v>
          </cell>
          <cell r="F10">
            <v>0.06</v>
          </cell>
          <cell r="G10">
            <v>0.1</v>
          </cell>
          <cell r="H10">
            <v>0</v>
          </cell>
          <cell r="I10" t="str">
            <v>ERKEK DIŞ GİYİM</v>
          </cell>
          <cell r="J10" t="str">
            <v>AD</v>
          </cell>
        </row>
        <row r="11">
          <cell r="A11" t="str">
            <v>6101.30.10.00.00</v>
          </cell>
          <cell r="B11" t="str">
            <v>X</v>
          </cell>
          <cell r="C11">
            <v>0</v>
          </cell>
          <cell r="D11">
            <v>0.12</v>
          </cell>
          <cell r="E11">
            <v>0.39</v>
          </cell>
          <cell r="F11">
            <v>0.06</v>
          </cell>
          <cell r="G11">
            <v>0.1</v>
          </cell>
          <cell r="H11">
            <v>0</v>
          </cell>
          <cell r="I11" t="str">
            <v>ERKEK DIŞ GİYİM</v>
          </cell>
          <cell r="J11" t="str">
            <v>AD</v>
          </cell>
        </row>
        <row r="12">
          <cell r="A12" t="str">
            <v>6101.30.90.00.00</v>
          </cell>
          <cell r="B12" t="str">
            <v>X</v>
          </cell>
          <cell r="C12">
            <v>0</v>
          </cell>
          <cell r="D12">
            <v>0.12</v>
          </cell>
          <cell r="E12">
            <v>0.39</v>
          </cell>
          <cell r="F12">
            <v>0.06</v>
          </cell>
          <cell r="G12">
            <v>0.1</v>
          </cell>
          <cell r="H12">
            <v>0</v>
          </cell>
          <cell r="I12" t="str">
            <v>ERKEK DIŞ GİYİM</v>
          </cell>
          <cell r="J12" t="str">
            <v>AD</v>
          </cell>
        </row>
        <row r="13">
          <cell r="A13" t="str">
            <v>6101.90.80.00.00</v>
          </cell>
          <cell r="B13" t="str">
            <v>X</v>
          </cell>
          <cell r="C13">
            <v>0</v>
          </cell>
          <cell r="D13">
            <v>0.12</v>
          </cell>
          <cell r="E13">
            <v>0.39</v>
          </cell>
          <cell r="F13">
            <v>0.06</v>
          </cell>
          <cell r="G13">
            <v>0.1</v>
          </cell>
          <cell r="H13">
            <v>0</v>
          </cell>
          <cell r="I13" t="str">
            <v>ERKEK DIŞ GİYİM</v>
          </cell>
          <cell r="J13" t="str">
            <v>AD</v>
          </cell>
        </row>
        <row r="14">
          <cell r="A14" t="str">
            <v>6102.30.10.00.00</v>
          </cell>
          <cell r="B14" t="str">
            <v>X</v>
          </cell>
          <cell r="C14" t="str">
            <v>X</v>
          </cell>
          <cell r="D14">
            <v>0.12</v>
          </cell>
          <cell r="E14">
            <v>0.39</v>
          </cell>
          <cell r="F14">
            <v>0.06</v>
          </cell>
          <cell r="G14">
            <v>0.1</v>
          </cell>
          <cell r="H14">
            <v>0</v>
          </cell>
          <cell r="I14" t="str">
            <v>KADIN DIŞ GİYİM</v>
          </cell>
          <cell r="J14" t="str">
            <v>AD</v>
          </cell>
        </row>
        <row r="15">
          <cell r="A15" t="str">
            <v>6102.30.90.00.00</v>
          </cell>
          <cell r="B15" t="str">
            <v>X</v>
          </cell>
          <cell r="C15">
            <v>0</v>
          </cell>
          <cell r="D15">
            <v>0.12</v>
          </cell>
          <cell r="E15">
            <v>0.39</v>
          </cell>
          <cell r="F15">
            <v>0.06</v>
          </cell>
          <cell r="G15">
            <v>0.1</v>
          </cell>
          <cell r="H15">
            <v>0</v>
          </cell>
          <cell r="I15" t="str">
            <v>KADIN DIŞ GİYİM</v>
          </cell>
          <cell r="J15" t="str">
            <v>AD</v>
          </cell>
        </row>
        <row r="16">
          <cell r="A16" t="str">
            <v>6103.41.00.00.00</v>
          </cell>
          <cell r="B16" t="str">
            <v>X</v>
          </cell>
          <cell r="C16">
            <v>0</v>
          </cell>
          <cell r="D16">
            <v>0.12</v>
          </cell>
          <cell r="E16">
            <v>0.39</v>
          </cell>
          <cell r="F16">
            <v>0.06</v>
          </cell>
          <cell r="G16">
            <v>0.1</v>
          </cell>
          <cell r="H16">
            <v>0</v>
          </cell>
          <cell r="I16" t="str">
            <v>YÜN ALT GİYİM</v>
          </cell>
          <cell r="J16" t="str">
            <v>AD</v>
          </cell>
        </row>
        <row r="17">
          <cell r="A17" t="str">
            <v>6103.42.00.00.00</v>
          </cell>
          <cell r="B17" t="str">
            <v>X</v>
          </cell>
          <cell r="C17" t="str">
            <v>X</v>
          </cell>
          <cell r="D17">
            <v>0.12</v>
          </cell>
          <cell r="E17">
            <v>0.39</v>
          </cell>
          <cell r="F17">
            <v>0.06</v>
          </cell>
          <cell r="G17">
            <v>0.1</v>
          </cell>
          <cell r="H17">
            <v>0</v>
          </cell>
          <cell r="I17" t="str">
            <v>ERKEK PANTOLON</v>
          </cell>
          <cell r="J17" t="str">
            <v>AD</v>
          </cell>
        </row>
        <row r="18">
          <cell r="A18" t="str">
            <v>6103.43.00.00.00</v>
          </cell>
          <cell r="B18" t="str">
            <v>X</v>
          </cell>
          <cell r="C18">
            <v>0</v>
          </cell>
          <cell r="D18">
            <v>0.12</v>
          </cell>
          <cell r="E18">
            <v>0.39</v>
          </cell>
          <cell r="F18">
            <v>0.06</v>
          </cell>
          <cell r="G18">
            <v>0.1</v>
          </cell>
          <cell r="H18">
            <v>0</v>
          </cell>
          <cell r="I18" t="str">
            <v>ERKEK PANTOLON</v>
          </cell>
          <cell r="J18" t="str">
            <v>AD</v>
          </cell>
        </row>
        <row r="19">
          <cell r="A19" t="str">
            <v>6103.49.00.00.91</v>
          </cell>
          <cell r="B19" t="str">
            <v>X</v>
          </cell>
          <cell r="C19">
            <v>0</v>
          </cell>
          <cell r="D19">
            <v>0.12</v>
          </cell>
          <cell r="E19">
            <v>0.39</v>
          </cell>
          <cell r="F19">
            <v>0.06</v>
          </cell>
          <cell r="G19">
            <v>0.1</v>
          </cell>
          <cell r="H19">
            <v>0</v>
          </cell>
          <cell r="I19" t="str">
            <v>ERKEK ŞORT</v>
          </cell>
          <cell r="J19" t="str">
            <v>AD</v>
          </cell>
        </row>
        <row r="20">
          <cell r="A20" t="str">
            <v>6104.42.00.00.00</v>
          </cell>
          <cell r="B20" t="str">
            <v>X</v>
          </cell>
          <cell r="C20" t="str">
            <v>X</v>
          </cell>
          <cell r="D20">
            <v>0.12</v>
          </cell>
          <cell r="E20">
            <v>0.39</v>
          </cell>
          <cell r="F20">
            <v>0.06</v>
          </cell>
          <cell r="G20">
            <v>0.1</v>
          </cell>
          <cell r="H20">
            <v>0</v>
          </cell>
          <cell r="I20" t="str">
            <v>KADIN ELBİSE</v>
          </cell>
          <cell r="J20" t="str">
            <v>AD</v>
          </cell>
        </row>
        <row r="21">
          <cell r="A21" t="str">
            <v>6104.43.00.00.19</v>
          </cell>
          <cell r="B21" t="str">
            <v>X</v>
          </cell>
          <cell r="C21" t="str">
            <v>X</v>
          </cell>
          <cell r="D21">
            <v>0.12</v>
          </cell>
          <cell r="E21">
            <v>0.39</v>
          </cell>
          <cell r="F21">
            <v>0.06</v>
          </cell>
          <cell r="G21">
            <v>0.1</v>
          </cell>
          <cell r="H21">
            <v>0</v>
          </cell>
          <cell r="I21" t="str">
            <v>KADIN ELBİSE</v>
          </cell>
          <cell r="J21" t="str">
            <v>AD</v>
          </cell>
        </row>
        <row r="22">
          <cell r="A22" t="str">
            <v>6104.52.00.00.00</v>
          </cell>
          <cell r="B22" t="str">
            <v>X</v>
          </cell>
          <cell r="C22" t="str">
            <v>X</v>
          </cell>
          <cell r="D22">
            <v>0.12</v>
          </cell>
          <cell r="E22">
            <v>0.39</v>
          </cell>
          <cell r="F22">
            <v>0.06</v>
          </cell>
          <cell r="G22">
            <v>0.1</v>
          </cell>
          <cell r="H22">
            <v>0</v>
          </cell>
          <cell r="I22" t="str">
            <v>KADIN ETEK</v>
          </cell>
          <cell r="J22" t="str">
            <v>AD</v>
          </cell>
        </row>
        <row r="23">
          <cell r="A23" t="str">
            <v>6104.53.00.00.00</v>
          </cell>
          <cell r="B23" t="str">
            <v>X</v>
          </cell>
          <cell r="C23" t="str">
            <v>X</v>
          </cell>
          <cell r="D23">
            <v>0.12</v>
          </cell>
          <cell r="E23">
            <v>0.39</v>
          </cell>
          <cell r="F23">
            <v>0.06</v>
          </cell>
          <cell r="G23">
            <v>0.1</v>
          </cell>
          <cell r="H23">
            <v>0</v>
          </cell>
          <cell r="I23" t="str">
            <v>KADIN ETEK</v>
          </cell>
          <cell r="J23" t="str">
            <v>AD</v>
          </cell>
        </row>
        <row r="24">
          <cell r="A24" t="str">
            <v>6104.61.00.00.00</v>
          </cell>
          <cell r="B24" t="str">
            <v>X</v>
          </cell>
          <cell r="C24">
            <v>0</v>
          </cell>
          <cell r="D24">
            <v>0.12</v>
          </cell>
          <cell r="E24">
            <v>0.39</v>
          </cell>
          <cell r="F24">
            <v>0.06</v>
          </cell>
          <cell r="G24">
            <v>0.1</v>
          </cell>
          <cell r="H24">
            <v>0</v>
          </cell>
          <cell r="I24" t="str">
            <v>KADIN PANTOLON</v>
          </cell>
          <cell r="J24" t="str">
            <v>AD</v>
          </cell>
        </row>
        <row r="25">
          <cell r="A25" t="str">
            <v>6104.62.00.00.00</v>
          </cell>
          <cell r="B25" t="str">
            <v>X</v>
          </cell>
          <cell r="C25" t="str">
            <v>X</v>
          </cell>
          <cell r="D25">
            <v>0.12</v>
          </cell>
          <cell r="E25">
            <v>0.39</v>
          </cell>
          <cell r="F25">
            <v>0.06</v>
          </cell>
          <cell r="G25">
            <v>0.1</v>
          </cell>
          <cell r="H25">
            <v>0</v>
          </cell>
          <cell r="I25" t="str">
            <v>KADIN PANTOLON</v>
          </cell>
          <cell r="J25" t="str">
            <v>AD</v>
          </cell>
        </row>
        <row r="26">
          <cell r="A26" t="str">
            <v>6104.63.00.00.00</v>
          </cell>
          <cell r="B26" t="str">
            <v>X</v>
          </cell>
          <cell r="C26">
            <v>0</v>
          </cell>
          <cell r="D26">
            <v>0.12</v>
          </cell>
          <cell r="E26">
            <v>0.39</v>
          </cell>
          <cell r="F26">
            <v>0.06</v>
          </cell>
          <cell r="G26">
            <v>0.1</v>
          </cell>
          <cell r="H26">
            <v>0</v>
          </cell>
          <cell r="I26" t="str">
            <v>KADIN PANTOLON</v>
          </cell>
          <cell r="J26" t="str">
            <v>AD</v>
          </cell>
        </row>
        <row r="27">
          <cell r="A27" t="str">
            <v>6104.69.00.00.11</v>
          </cell>
          <cell r="B27" t="str">
            <v>X</v>
          </cell>
          <cell r="C27">
            <v>0</v>
          </cell>
          <cell r="D27">
            <v>0.12</v>
          </cell>
          <cell r="E27">
            <v>0.39</v>
          </cell>
          <cell r="F27">
            <v>0.06</v>
          </cell>
          <cell r="G27">
            <v>0.1</v>
          </cell>
          <cell r="H27">
            <v>0</v>
          </cell>
          <cell r="I27" t="str">
            <v>KADIN PANTOLON</v>
          </cell>
          <cell r="J27" t="str">
            <v>AD</v>
          </cell>
        </row>
        <row r="28">
          <cell r="A28" t="str">
            <v>6105.10.00.00.00</v>
          </cell>
          <cell r="B28" t="str">
            <v>X</v>
          </cell>
          <cell r="C28">
            <v>0</v>
          </cell>
          <cell r="D28">
            <v>0.12</v>
          </cell>
          <cell r="E28">
            <v>0.39</v>
          </cell>
          <cell r="F28">
            <v>0.06</v>
          </cell>
          <cell r="G28">
            <v>0.1</v>
          </cell>
          <cell r="H28">
            <v>0</v>
          </cell>
          <cell r="I28" t="str">
            <v>ERKEK GÖMLEK</v>
          </cell>
          <cell r="J28" t="str">
            <v>AD</v>
          </cell>
        </row>
        <row r="29">
          <cell r="A29" t="str">
            <v>6105.20.10.00.00</v>
          </cell>
          <cell r="B29" t="str">
            <v>X</v>
          </cell>
          <cell r="C29" t="str">
            <v>X</v>
          </cell>
          <cell r="D29">
            <v>0.12</v>
          </cell>
          <cell r="E29">
            <v>0.39</v>
          </cell>
          <cell r="F29">
            <v>0.06</v>
          </cell>
          <cell r="G29">
            <v>0.1</v>
          </cell>
          <cell r="H29">
            <v>0</v>
          </cell>
          <cell r="I29" t="str">
            <v>ERKEK GÖMLEK</v>
          </cell>
          <cell r="J29" t="str">
            <v>AD</v>
          </cell>
        </row>
        <row r="30">
          <cell r="A30" t="str">
            <v>6105.20.90.00.00</v>
          </cell>
          <cell r="B30" t="str">
            <v>X</v>
          </cell>
          <cell r="C30">
            <v>0</v>
          </cell>
          <cell r="D30">
            <v>0.12</v>
          </cell>
          <cell r="E30">
            <v>0.39</v>
          </cell>
          <cell r="F30">
            <v>0.06</v>
          </cell>
          <cell r="G30">
            <v>0.1</v>
          </cell>
          <cell r="H30">
            <v>0</v>
          </cell>
          <cell r="I30" t="str">
            <v>ERKEK GÖMLEK</v>
          </cell>
          <cell r="J30" t="str">
            <v>AD</v>
          </cell>
        </row>
        <row r="31">
          <cell r="A31" t="str">
            <v>6105.90.10.00.00</v>
          </cell>
          <cell r="B31" t="str">
            <v>X</v>
          </cell>
          <cell r="C31">
            <v>0</v>
          </cell>
          <cell r="D31">
            <v>0.12</v>
          </cell>
          <cell r="E31">
            <v>0.39</v>
          </cell>
          <cell r="F31">
            <v>0.06</v>
          </cell>
          <cell r="G31">
            <v>0.1</v>
          </cell>
          <cell r="H31">
            <v>0</v>
          </cell>
          <cell r="I31" t="str">
            <v>ERKEK GÖMLEK</v>
          </cell>
          <cell r="J31" t="str">
            <v>AD</v>
          </cell>
        </row>
        <row r="32">
          <cell r="A32" t="str">
            <v>6105.90.90.00.00</v>
          </cell>
          <cell r="B32" t="str">
            <v>X</v>
          </cell>
          <cell r="C32">
            <v>0</v>
          </cell>
          <cell r="D32">
            <v>0.12</v>
          </cell>
          <cell r="E32">
            <v>0.39</v>
          </cell>
          <cell r="F32">
            <v>0.06</v>
          </cell>
          <cell r="G32">
            <v>0.1</v>
          </cell>
          <cell r="H32">
            <v>0</v>
          </cell>
          <cell r="I32" t="str">
            <v>ERKEK GÖMLEK</v>
          </cell>
          <cell r="J32" t="str">
            <v>AD</v>
          </cell>
        </row>
        <row r="33">
          <cell r="A33" t="str">
            <v>6106.10.00.00.00</v>
          </cell>
          <cell r="B33" t="str">
            <v>X</v>
          </cell>
          <cell r="C33" t="str">
            <v>X</v>
          </cell>
          <cell r="D33">
            <v>0.12</v>
          </cell>
          <cell r="E33">
            <v>0.39</v>
          </cell>
          <cell r="F33">
            <v>0.06</v>
          </cell>
          <cell r="G33">
            <v>0.1</v>
          </cell>
          <cell r="H33">
            <v>0</v>
          </cell>
          <cell r="I33" t="str">
            <v>KADIN ÜST GİYİM</v>
          </cell>
          <cell r="J33" t="str">
            <v>AD</v>
          </cell>
        </row>
        <row r="34">
          <cell r="A34" t="str">
            <v>6106.20.00.00.00</v>
          </cell>
          <cell r="B34" t="str">
            <v>X</v>
          </cell>
          <cell r="C34" t="str">
            <v>X</v>
          </cell>
          <cell r="D34">
            <v>0.12</v>
          </cell>
          <cell r="E34">
            <v>0.39</v>
          </cell>
          <cell r="F34">
            <v>0.06</v>
          </cell>
          <cell r="G34">
            <v>0.1</v>
          </cell>
          <cell r="H34">
            <v>0</v>
          </cell>
          <cell r="I34" t="str">
            <v>KADIN ÜST GİYİM</v>
          </cell>
          <cell r="J34" t="str">
            <v>AD</v>
          </cell>
        </row>
        <row r="35">
          <cell r="A35" t="str">
            <v>6107.12.00.00.00</v>
          </cell>
          <cell r="B35" t="str">
            <v>X</v>
          </cell>
          <cell r="C35">
            <v>0</v>
          </cell>
          <cell r="D35">
            <v>0.12</v>
          </cell>
          <cell r="E35">
            <v>0.39</v>
          </cell>
          <cell r="F35">
            <v>0.06</v>
          </cell>
          <cell r="G35">
            <v>0.1</v>
          </cell>
          <cell r="H35">
            <v>0</v>
          </cell>
          <cell r="I35" t="str">
            <v>ERKEK İÇ GİYİM</v>
          </cell>
          <cell r="J35" t="str">
            <v>AD</v>
          </cell>
        </row>
        <row r="36">
          <cell r="A36" t="str">
            <v>6108.22.00.00.00</v>
          </cell>
          <cell r="B36" t="str">
            <v>X</v>
          </cell>
          <cell r="C36">
            <v>0</v>
          </cell>
          <cell r="D36">
            <v>0.12</v>
          </cell>
          <cell r="E36">
            <v>0.39</v>
          </cell>
          <cell r="F36">
            <v>0.06</v>
          </cell>
          <cell r="G36">
            <v>0.1</v>
          </cell>
          <cell r="H36">
            <v>0</v>
          </cell>
          <cell r="I36" t="str">
            <v>KADIN İÇ GİYİM</v>
          </cell>
          <cell r="J36" t="str">
            <v>AD</v>
          </cell>
        </row>
        <row r="37">
          <cell r="A37" t="str">
            <v>6109.10.00.00.00</v>
          </cell>
          <cell r="B37" t="str">
            <v>X</v>
          </cell>
          <cell r="C37">
            <v>0</v>
          </cell>
          <cell r="D37">
            <v>0.12</v>
          </cell>
          <cell r="E37">
            <v>0.39</v>
          </cell>
          <cell r="F37">
            <v>0.06</v>
          </cell>
          <cell r="G37">
            <v>0.1</v>
          </cell>
          <cell r="H37">
            <v>0</v>
          </cell>
          <cell r="I37" t="str">
            <v>ÜST GİYİM</v>
          </cell>
          <cell r="J37" t="str">
            <v>AD</v>
          </cell>
        </row>
        <row r="38">
          <cell r="A38" t="str">
            <v>6109.90.20.00.12</v>
          </cell>
          <cell r="B38" t="str">
            <v>X</v>
          </cell>
          <cell r="C38" t="str">
            <v>X</v>
          </cell>
          <cell r="D38">
            <v>0.12</v>
          </cell>
          <cell r="E38">
            <v>0.39</v>
          </cell>
          <cell r="F38">
            <v>0.06</v>
          </cell>
          <cell r="G38">
            <v>0.1</v>
          </cell>
          <cell r="H38">
            <v>0</v>
          </cell>
          <cell r="I38" t="str">
            <v>ÜST GİYİM</v>
          </cell>
          <cell r="J38" t="str">
            <v>AD</v>
          </cell>
        </row>
        <row r="39">
          <cell r="A39" t="str">
            <v>6109.90.90.00.00</v>
          </cell>
          <cell r="B39" t="str">
            <v>X</v>
          </cell>
          <cell r="C39" t="str">
            <v>X</v>
          </cell>
          <cell r="D39">
            <v>0.12</v>
          </cell>
          <cell r="E39">
            <v>0.39</v>
          </cell>
          <cell r="F39">
            <v>0.06</v>
          </cell>
          <cell r="G39">
            <v>0.1</v>
          </cell>
          <cell r="H39">
            <v>0</v>
          </cell>
          <cell r="I39" t="str">
            <v>ÜST GİYİM</v>
          </cell>
          <cell r="J39" t="str">
            <v>AD</v>
          </cell>
        </row>
        <row r="40">
          <cell r="A40" t="str">
            <v>6110.11.10.00.00</v>
          </cell>
          <cell r="B40" t="str">
            <v>X</v>
          </cell>
          <cell r="C40">
            <v>0</v>
          </cell>
          <cell r="D40">
            <v>0.12</v>
          </cell>
          <cell r="E40">
            <v>0.39</v>
          </cell>
          <cell r="F40">
            <v>0.06</v>
          </cell>
          <cell r="G40">
            <v>0.1</v>
          </cell>
          <cell r="H40">
            <v>0</v>
          </cell>
          <cell r="I40" t="str">
            <v>KAZAK</v>
          </cell>
          <cell r="J40" t="str">
            <v>AD</v>
          </cell>
        </row>
        <row r="41">
          <cell r="A41" t="str">
            <v>6110.11.30.00.00</v>
          </cell>
          <cell r="B41" t="str">
            <v>X</v>
          </cell>
          <cell r="C41">
            <v>0</v>
          </cell>
          <cell r="D41">
            <v>0.12</v>
          </cell>
          <cell r="E41">
            <v>0.39</v>
          </cell>
          <cell r="F41">
            <v>0.06</v>
          </cell>
          <cell r="G41">
            <v>0.1</v>
          </cell>
          <cell r="H41">
            <v>0</v>
          </cell>
          <cell r="I41" t="str">
            <v>ERKEK KAZAK</v>
          </cell>
          <cell r="J41" t="str">
            <v>AD</v>
          </cell>
        </row>
        <row r="42">
          <cell r="A42" t="str">
            <v>6110.12.10.00.00</v>
          </cell>
          <cell r="B42" t="str">
            <v>X</v>
          </cell>
          <cell r="C42">
            <v>0</v>
          </cell>
          <cell r="D42">
            <v>0.12</v>
          </cell>
          <cell r="E42">
            <v>0</v>
          </cell>
          <cell r="F42">
            <v>0.06</v>
          </cell>
          <cell r="G42">
            <v>0.1</v>
          </cell>
          <cell r="H42">
            <v>0</v>
          </cell>
          <cell r="I42" t="str">
            <v>ERKEK KAZAK</v>
          </cell>
          <cell r="J42" t="str">
            <v>AD</v>
          </cell>
        </row>
        <row r="43">
          <cell r="A43" t="str">
            <v>6110.12.90.00.00</v>
          </cell>
          <cell r="B43" t="str">
            <v>X</v>
          </cell>
          <cell r="C43">
            <v>0</v>
          </cell>
          <cell r="D43">
            <v>0.12</v>
          </cell>
          <cell r="E43">
            <v>0</v>
          </cell>
          <cell r="F43">
            <v>0.06</v>
          </cell>
          <cell r="G43">
            <v>0.1</v>
          </cell>
          <cell r="H43">
            <v>0</v>
          </cell>
          <cell r="I43" t="str">
            <v>KADIN KAZAK</v>
          </cell>
          <cell r="J43" t="str">
            <v>AD</v>
          </cell>
        </row>
        <row r="44">
          <cell r="A44" t="str">
            <v>6110.20.10.00.00</v>
          </cell>
          <cell r="B44" t="str">
            <v>X</v>
          </cell>
          <cell r="C44">
            <v>0</v>
          </cell>
          <cell r="D44">
            <v>0.12</v>
          </cell>
          <cell r="E44">
            <v>0.39</v>
          </cell>
          <cell r="F44">
            <v>0.06</v>
          </cell>
          <cell r="G44">
            <v>0.1</v>
          </cell>
          <cell r="H44">
            <v>0</v>
          </cell>
          <cell r="I44" t="str">
            <v>ERKEK KAZAK</v>
          </cell>
          <cell r="J44" t="str">
            <v>AD</v>
          </cell>
        </row>
        <row r="45">
          <cell r="A45" t="str">
            <v>6110.20.91.00.00</v>
          </cell>
          <cell r="B45" t="str">
            <v>X</v>
          </cell>
          <cell r="C45" t="str">
            <v>X</v>
          </cell>
          <cell r="D45">
            <v>0.12</v>
          </cell>
          <cell r="E45">
            <v>0.39</v>
          </cell>
          <cell r="F45">
            <v>0.06</v>
          </cell>
          <cell r="G45">
            <v>0.1</v>
          </cell>
          <cell r="H45">
            <v>0</v>
          </cell>
          <cell r="I45" t="str">
            <v>ERKEK KAZAK</v>
          </cell>
          <cell r="J45" t="str">
            <v>AD</v>
          </cell>
        </row>
        <row r="46">
          <cell r="A46" t="str">
            <v>6110.20.99.00.00</v>
          </cell>
          <cell r="B46" t="str">
            <v>X</v>
          </cell>
          <cell r="C46">
            <v>0</v>
          </cell>
          <cell r="D46">
            <v>0.12</v>
          </cell>
          <cell r="E46">
            <v>0.39</v>
          </cell>
          <cell r="F46">
            <v>0.06</v>
          </cell>
          <cell r="G46">
            <v>0.1</v>
          </cell>
          <cell r="H46">
            <v>0</v>
          </cell>
          <cell r="I46" t="str">
            <v>KADIN KAZAK</v>
          </cell>
          <cell r="J46" t="str">
            <v>AD</v>
          </cell>
        </row>
        <row r="47">
          <cell r="A47" t="str">
            <v>6110.30.10.00.00</v>
          </cell>
          <cell r="B47" t="str">
            <v>X</v>
          </cell>
          <cell r="C47" t="str">
            <v>X</v>
          </cell>
          <cell r="D47">
            <v>0.12</v>
          </cell>
          <cell r="E47">
            <v>0.39</v>
          </cell>
          <cell r="F47">
            <v>0.06</v>
          </cell>
          <cell r="G47">
            <v>0.1</v>
          </cell>
          <cell r="H47">
            <v>0</v>
          </cell>
          <cell r="I47" t="str">
            <v>KAZAK</v>
          </cell>
          <cell r="J47" t="str">
            <v>AD</v>
          </cell>
        </row>
        <row r="48">
          <cell r="A48" t="str">
            <v>6110.30.91.00.00</v>
          </cell>
          <cell r="B48" t="str">
            <v>X</v>
          </cell>
          <cell r="C48" t="str">
            <v>X</v>
          </cell>
          <cell r="D48">
            <v>0.12</v>
          </cell>
          <cell r="E48">
            <v>0.39</v>
          </cell>
          <cell r="F48">
            <v>0.06</v>
          </cell>
          <cell r="G48">
            <v>0.1</v>
          </cell>
          <cell r="H48">
            <v>0</v>
          </cell>
          <cell r="I48" t="str">
            <v>ERKEK KAZAK</v>
          </cell>
          <cell r="J48" t="str">
            <v>AD</v>
          </cell>
        </row>
        <row r="49">
          <cell r="A49" t="str">
            <v>6110.30.99.00.00</v>
          </cell>
          <cell r="B49" t="str">
            <v>X</v>
          </cell>
          <cell r="C49" t="str">
            <v>X</v>
          </cell>
          <cell r="D49">
            <v>0.12</v>
          </cell>
          <cell r="E49">
            <v>0.39</v>
          </cell>
          <cell r="F49">
            <v>0.06</v>
          </cell>
          <cell r="G49">
            <v>0.1</v>
          </cell>
          <cell r="H49">
            <v>0</v>
          </cell>
          <cell r="I49" t="str">
            <v>KADIN KAZAK</v>
          </cell>
          <cell r="J49" t="str">
            <v>AD</v>
          </cell>
        </row>
        <row r="50">
          <cell r="A50" t="str">
            <v>6110.90.90.00.00</v>
          </cell>
          <cell r="B50" t="str">
            <v>X</v>
          </cell>
          <cell r="C50" t="str">
            <v>X</v>
          </cell>
          <cell r="D50">
            <v>0.12</v>
          </cell>
          <cell r="E50">
            <v>0.39</v>
          </cell>
          <cell r="F50">
            <v>0.06</v>
          </cell>
          <cell r="G50">
            <v>0.1</v>
          </cell>
          <cell r="H50">
            <v>0</v>
          </cell>
          <cell r="I50" t="str">
            <v>DİĞER DIŞ GİYİM</v>
          </cell>
          <cell r="J50" t="str">
            <v>AD</v>
          </cell>
        </row>
        <row r="51">
          <cell r="A51" t="str">
            <v>6112.12.00.00.00</v>
          </cell>
          <cell r="B51" t="str">
            <v>X</v>
          </cell>
          <cell r="C51">
            <v>0</v>
          </cell>
          <cell r="D51">
            <v>0.12</v>
          </cell>
          <cell r="E51">
            <v>0.39</v>
          </cell>
          <cell r="F51">
            <v>0.06</v>
          </cell>
          <cell r="G51">
            <v>0.1</v>
          </cell>
          <cell r="H51">
            <v>0</v>
          </cell>
          <cell r="I51" t="str">
            <v>SPOR KIYAFET</v>
          </cell>
          <cell r="J51" t="str">
            <v>AD</v>
          </cell>
        </row>
        <row r="52">
          <cell r="A52" t="str">
            <v>6113.00.10.00.00</v>
          </cell>
          <cell r="B52" t="str">
            <v>X</v>
          </cell>
          <cell r="C52" t="str">
            <v>X</v>
          </cell>
          <cell r="D52">
            <v>0.08</v>
          </cell>
          <cell r="E52">
            <v>0.39</v>
          </cell>
          <cell r="F52">
            <v>0.06</v>
          </cell>
          <cell r="G52">
            <v>0.1</v>
          </cell>
          <cell r="H52">
            <v>0</v>
          </cell>
          <cell r="I52" t="str">
            <v>GİYİM EŞYASI</v>
          </cell>
          <cell r="J52" t="str">
            <v>AD</v>
          </cell>
        </row>
        <row r="53">
          <cell r="A53" t="str">
            <v>6114.20.00.00.00</v>
          </cell>
          <cell r="B53" t="str">
            <v>X</v>
          </cell>
          <cell r="C53">
            <v>0</v>
          </cell>
          <cell r="D53">
            <v>0.12</v>
          </cell>
          <cell r="E53">
            <v>0.39</v>
          </cell>
          <cell r="F53">
            <v>0.06</v>
          </cell>
          <cell r="G53">
            <v>0.1</v>
          </cell>
          <cell r="H53">
            <v>0</v>
          </cell>
          <cell r="I53" t="str">
            <v>DİĞER GİYİM EŞYASI</v>
          </cell>
          <cell r="J53" t="str">
            <v>AD</v>
          </cell>
        </row>
        <row r="54">
          <cell r="A54" t="str">
            <v>6114.30.00.00.11</v>
          </cell>
          <cell r="B54" t="str">
            <v>X</v>
          </cell>
          <cell r="C54">
            <v>0</v>
          </cell>
          <cell r="D54">
            <v>0.12</v>
          </cell>
          <cell r="E54">
            <v>0.39</v>
          </cell>
          <cell r="F54">
            <v>0.06</v>
          </cell>
          <cell r="G54">
            <v>0.1</v>
          </cell>
          <cell r="H54">
            <v>0</v>
          </cell>
          <cell r="I54" t="str">
            <v>DİĞER GİYİM EŞYASI</v>
          </cell>
          <cell r="J54" t="str">
            <v>AD</v>
          </cell>
        </row>
        <row r="55">
          <cell r="A55" t="str">
            <v>6114.90.00.00.00</v>
          </cell>
          <cell r="B55" t="str">
            <v>X</v>
          </cell>
          <cell r="C55">
            <v>0</v>
          </cell>
          <cell r="D55">
            <v>0.12</v>
          </cell>
          <cell r="E55">
            <v>0.39</v>
          </cell>
          <cell r="F55">
            <v>0.06</v>
          </cell>
          <cell r="G55">
            <v>0.1</v>
          </cell>
          <cell r="H55">
            <v>0</v>
          </cell>
          <cell r="I55" t="str">
            <v>DİĞER GİYİM EŞYASI</v>
          </cell>
          <cell r="J55" t="str">
            <v>AD</v>
          </cell>
        </row>
        <row r="56">
          <cell r="A56" t="str">
            <v>6115.22.00.00.00</v>
          </cell>
          <cell r="B56" t="str">
            <v>X</v>
          </cell>
          <cell r="C56">
            <v>0</v>
          </cell>
          <cell r="D56">
            <v>0.12</v>
          </cell>
          <cell r="E56">
            <v>0.39</v>
          </cell>
          <cell r="F56">
            <v>0.06</v>
          </cell>
          <cell r="G56">
            <v>0.1</v>
          </cell>
          <cell r="H56">
            <v>0</v>
          </cell>
          <cell r="I56" t="str">
            <v>KADIN TAYT</v>
          </cell>
          <cell r="J56" t="str">
            <v>AD</v>
          </cell>
        </row>
        <row r="57">
          <cell r="A57" t="str">
            <v>6115.95.00.00.00</v>
          </cell>
          <cell r="B57" t="str">
            <v>X</v>
          </cell>
          <cell r="C57">
            <v>0</v>
          </cell>
          <cell r="D57">
            <v>0.12</v>
          </cell>
          <cell r="E57">
            <v>0.39</v>
          </cell>
          <cell r="F57">
            <v>0.06</v>
          </cell>
          <cell r="G57">
            <v>0.1</v>
          </cell>
          <cell r="H57">
            <v>0</v>
          </cell>
          <cell r="I57" t="str">
            <v>KADIN ÇORAP</v>
          </cell>
          <cell r="J57" t="str">
            <v>PR</v>
          </cell>
        </row>
        <row r="58">
          <cell r="A58" t="str">
            <v>6115.96.91.00.00</v>
          </cell>
          <cell r="B58" t="str">
            <v>X</v>
          </cell>
          <cell r="C58">
            <v>0</v>
          </cell>
          <cell r="D58">
            <v>0.12</v>
          </cell>
          <cell r="E58">
            <v>0.39</v>
          </cell>
          <cell r="F58">
            <v>0.06</v>
          </cell>
          <cell r="G58">
            <v>0.1</v>
          </cell>
          <cell r="H58">
            <v>0</v>
          </cell>
          <cell r="I58" t="str">
            <v>KADIN ÇORAP</v>
          </cell>
          <cell r="J58" t="str">
            <v>PR</v>
          </cell>
        </row>
        <row r="59">
          <cell r="A59" t="str">
            <v>6116.93.00.00.00</v>
          </cell>
          <cell r="B59" t="str">
            <v>X</v>
          </cell>
          <cell r="C59" t="str">
            <v>X</v>
          </cell>
          <cell r="D59">
            <v>8.8999999999999996E-2</v>
          </cell>
          <cell r="E59">
            <v>0.39</v>
          </cell>
          <cell r="F59">
            <v>0.06</v>
          </cell>
          <cell r="G59">
            <v>0.1</v>
          </cell>
          <cell r="H59">
            <v>0</v>
          </cell>
          <cell r="I59" t="str">
            <v>ELDİVEN</v>
          </cell>
          <cell r="J59" t="str">
            <v>PR</v>
          </cell>
        </row>
        <row r="60">
          <cell r="A60" t="str">
            <v>6117.10.00.00.00</v>
          </cell>
          <cell r="B60" t="str">
            <v>X</v>
          </cell>
          <cell r="C60" t="str">
            <v>X</v>
          </cell>
          <cell r="D60">
            <v>0.12</v>
          </cell>
          <cell r="E60">
            <v>0.39</v>
          </cell>
          <cell r="F60">
            <v>0.06</v>
          </cell>
          <cell r="G60">
            <v>0.1</v>
          </cell>
          <cell r="H60">
            <v>0</v>
          </cell>
          <cell r="I60" t="str">
            <v>GİYİM AKSESUAR</v>
          </cell>
          <cell r="J60" t="str">
            <v>AD</v>
          </cell>
        </row>
        <row r="61">
          <cell r="A61" t="str">
            <v>6117.80.80.00.00</v>
          </cell>
          <cell r="B61" t="str">
            <v>X</v>
          </cell>
          <cell r="C61">
            <v>0</v>
          </cell>
          <cell r="D61">
            <v>0.12</v>
          </cell>
          <cell r="E61">
            <v>0.18</v>
          </cell>
          <cell r="F61">
            <v>0.06</v>
          </cell>
          <cell r="G61">
            <v>0.1</v>
          </cell>
          <cell r="H61">
            <v>0</v>
          </cell>
          <cell r="I61" t="str">
            <v>GİYİM AKSESUAR</v>
          </cell>
          <cell r="J61" t="str">
            <v>AD</v>
          </cell>
        </row>
        <row r="62">
          <cell r="A62" t="str">
            <v>6201.20.00.00.00</v>
          </cell>
          <cell r="B62" t="str">
            <v>X</v>
          </cell>
          <cell r="C62">
            <v>0</v>
          </cell>
          <cell r="D62">
            <v>0.12</v>
          </cell>
          <cell r="E62">
            <v>0.39</v>
          </cell>
          <cell r="F62">
            <v>0.06</v>
          </cell>
          <cell r="G62">
            <v>0.1</v>
          </cell>
          <cell r="H62">
            <v>0</v>
          </cell>
          <cell r="I62" t="str">
            <v>PALTO</v>
          </cell>
          <cell r="J62" t="str">
            <v>AD</v>
          </cell>
        </row>
        <row r="63">
          <cell r="A63" t="str">
            <v>6201.30.10.00.11</v>
          </cell>
          <cell r="B63" t="str">
            <v>X</v>
          </cell>
          <cell r="C63">
            <v>0</v>
          </cell>
          <cell r="D63">
            <v>0.12</v>
          </cell>
          <cell r="E63">
            <v>0.39</v>
          </cell>
          <cell r="F63">
            <v>0.06</v>
          </cell>
          <cell r="G63">
            <v>0.1</v>
          </cell>
          <cell r="H63">
            <v>0</v>
          </cell>
          <cell r="I63" t="str">
            <v>PALTO</v>
          </cell>
          <cell r="J63" t="str">
            <v>AD</v>
          </cell>
        </row>
        <row r="64">
          <cell r="A64" t="str">
            <v>6201.30.10.00.12</v>
          </cell>
          <cell r="B64" t="str">
            <v>X</v>
          </cell>
          <cell r="C64">
            <v>0</v>
          </cell>
          <cell r="D64">
            <v>0.12</v>
          </cell>
          <cell r="E64">
            <v>0.39</v>
          </cell>
          <cell r="F64">
            <v>0.06</v>
          </cell>
          <cell r="G64">
            <v>0.1</v>
          </cell>
          <cell r="H64">
            <v>0</v>
          </cell>
          <cell r="I64" t="str">
            <v>ERKEK YAĞMURLUK</v>
          </cell>
          <cell r="J64" t="str">
            <v>AD</v>
          </cell>
        </row>
        <row r="65">
          <cell r="A65" t="str">
            <v>6201.40.90.00.11</v>
          </cell>
          <cell r="B65" t="str">
            <v>X</v>
          </cell>
          <cell r="C65">
            <v>0</v>
          </cell>
          <cell r="D65">
            <v>0.12</v>
          </cell>
          <cell r="E65">
            <v>0.39</v>
          </cell>
          <cell r="F65">
            <v>0.06</v>
          </cell>
          <cell r="G65">
            <v>0.1</v>
          </cell>
          <cell r="H65">
            <v>0</v>
          </cell>
          <cell r="I65" t="str">
            <v>ERKEK PALTO</v>
          </cell>
          <cell r="J65" t="str">
            <v>AD</v>
          </cell>
        </row>
        <row r="66">
          <cell r="A66" t="str">
            <v>6201.40.90.00.12</v>
          </cell>
          <cell r="B66" t="str">
            <v>X</v>
          </cell>
          <cell r="C66">
            <v>0</v>
          </cell>
          <cell r="D66">
            <v>0.12</v>
          </cell>
          <cell r="E66">
            <v>0.39</v>
          </cell>
          <cell r="F66">
            <v>0.06</v>
          </cell>
          <cell r="G66">
            <v>0.1</v>
          </cell>
          <cell r="H66">
            <v>0</v>
          </cell>
          <cell r="I66" t="str">
            <v>ERKEK YAĞMURLUK</v>
          </cell>
          <cell r="J66" t="str">
            <v>AD</v>
          </cell>
        </row>
        <row r="67">
          <cell r="A67" t="str">
            <v>6202.20.00.00.00</v>
          </cell>
          <cell r="B67" t="str">
            <v>X</v>
          </cell>
          <cell r="C67">
            <v>0</v>
          </cell>
          <cell r="D67">
            <v>0.12</v>
          </cell>
          <cell r="E67">
            <v>0.39</v>
          </cell>
          <cell r="F67">
            <v>0.06</v>
          </cell>
          <cell r="G67">
            <v>0.1</v>
          </cell>
          <cell r="H67">
            <v>0</v>
          </cell>
          <cell r="I67" t="str">
            <v>KADIN DIŞ GİYİM</v>
          </cell>
          <cell r="J67" t="str">
            <v>AD</v>
          </cell>
        </row>
        <row r="68">
          <cell r="A68" t="str">
            <v>6202.30.10.00.11</v>
          </cell>
          <cell r="B68" t="str">
            <v>X</v>
          </cell>
          <cell r="C68">
            <v>0</v>
          </cell>
          <cell r="D68">
            <v>0.12</v>
          </cell>
          <cell r="E68">
            <v>0.39</v>
          </cell>
          <cell r="F68">
            <v>0.06</v>
          </cell>
          <cell r="G68">
            <v>0.1</v>
          </cell>
          <cell r="H68">
            <v>0</v>
          </cell>
          <cell r="I68" t="str">
            <v>KADIN MANTO</v>
          </cell>
          <cell r="J68" t="str">
            <v>AD</v>
          </cell>
        </row>
        <row r="69">
          <cell r="A69" t="str">
            <v>6202.30.10.00.13</v>
          </cell>
          <cell r="B69" t="str">
            <v>X</v>
          </cell>
          <cell r="C69">
            <v>0</v>
          </cell>
          <cell r="D69">
            <v>0.12</v>
          </cell>
          <cell r="E69">
            <v>0.39</v>
          </cell>
          <cell r="F69">
            <v>0.06</v>
          </cell>
          <cell r="G69">
            <v>0.1</v>
          </cell>
          <cell r="H69">
            <v>0</v>
          </cell>
          <cell r="I69" t="str">
            <v>KADIN KABAN</v>
          </cell>
          <cell r="J69" t="str">
            <v>AD</v>
          </cell>
        </row>
        <row r="70">
          <cell r="A70" t="str">
            <v>6202.30.90.00.11</v>
          </cell>
          <cell r="B70" t="str">
            <v>X</v>
          </cell>
          <cell r="C70">
            <v>0</v>
          </cell>
          <cell r="D70">
            <v>0.12</v>
          </cell>
          <cell r="E70">
            <v>0.39</v>
          </cell>
          <cell r="F70">
            <v>0.06</v>
          </cell>
          <cell r="G70">
            <v>0.1</v>
          </cell>
          <cell r="H70">
            <v>0</v>
          </cell>
          <cell r="I70" t="str">
            <v>KADIN MANTO</v>
          </cell>
          <cell r="J70" t="str">
            <v>AD</v>
          </cell>
        </row>
        <row r="71">
          <cell r="A71" t="str">
            <v>6202.40.10.00.11</v>
          </cell>
          <cell r="B71" t="str">
            <v>X</v>
          </cell>
          <cell r="C71">
            <v>0</v>
          </cell>
          <cell r="D71">
            <v>0.12</v>
          </cell>
          <cell r="E71">
            <v>0.39</v>
          </cell>
          <cell r="F71">
            <v>0.06</v>
          </cell>
          <cell r="G71">
            <v>0.1</v>
          </cell>
          <cell r="H71">
            <v>0</v>
          </cell>
          <cell r="I71" t="str">
            <v>KADIN MANTO</v>
          </cell>
          <cell r="J71" t="str">
            <v>AD</v>
          </cell>
        </row>
        <row r="72">
          <cell r="A72" t="str">
            <v>6202.40.10.00.14</v>
          </cell>
          <cell r="B72" t="str">
            <v>X</v>
          </cell>
          <cell r="C72">
            <v>0</v>
          </cell>
          <cell r="D72">
            <v>0.12</v>
          </cell>
          <cell r="E72">
            <v>0.39</v>
          </cell>
          <cell r="F72">
            <v>0.06</v>
          </cell>
          <cell r="G72">
            <v>0.1</v>
          </cell>
          <cell r="H72">
            <v>0</v>
          </cell>
          <cell r="I72" t="str">
            <v>KADIN CEKET</v>
          </cell>
          <cell r="J72" t="str">
            <v>AD</v>
          </cell>
        </row>
        <row r="73">
          <cell r="A73" t="str">
            <v>6203.31.00.00.00</v>
          </cell>
          <cell r="B73" t="str">
            <v>X</v>
          </cell>
          <cell r="C73">
            <v>0</v>
          </cell>
          <cell r="D73">
            <v>0.12</v>
          </cell>
          <cell r="E73">
            <v>0.39</v>
          </cell>
          <cell r="F73">
            <v>0.06</v>
          </cell>
          <cell r="G73">
            <v>0.1</v>
          </cell>
          <cell r="H73">
            <v>0</v>
          </cell>
          <cell r="I73" t="str">
            <v>ERKEK CEKET</v>
          </cell>
          <cell r="J73" t="str">
            <v>AD</v>
          </cell>
        </row>
        <row r="74">
          <cell r="A74" t="str">
            <v>6203.41.10.00.00</v>
          </cell>
          <cell r="B74" t="str">
            <v>X</v>
          </cell>
          <cell r="C74" t="str">
            <v>X</v>
          </cell>
          <cell r="D74">
            <v>0.12</v>
          </cell>
          <cell r="E74">
            <v>0.39</v>
          </cell>
          <cell r="F74">
            <v>0.06</v>
          </cell>
          <cell r="G74">
            <v>0.1</v>
          </cell>
          <cell r="H74">
            <v>0</v>
          </cell>
          <cell r="I74" t="str">
            <v>PANTOLON</v>
          </cell>
          <cell r="J74" t="str">
            <v>AD</v>
          </cell>
        </row>
        <row r="75">
          <cell r="A75" t="str">
            <v>6203.42.31.00.00</v>
          </cell>
          <cell r="B75" t="str">
            <v>X</v>
          </cell>
          <cell r="C75">
            <v>0</v>
          </cell>
          <cell r="D75">
            <v>0.12</v>
          </cell>
          <cell r="E75">
            <v>0.39</v>
          </cell>
          <cell r="F75">
            <v>0.06</v>
          </cell>
          <cell r="G75">
            <v>0.1</v>
          </cell>
          <cell r="H75">
            <v>0</v>
          </cell>
          <cell r="I75" t="str">
            <v>ERKEK DENİM PANTOLON</v>
          </cell>
          <cell r="J75" t="str">
            <v>AD</v>
          </cell>
        </row>
        <row r="76">
          <cell r="A76" t="str">
            <v>6203.42.35.00.00</v>
          </cell>
          <cell r="B76" t="str">
            <v>X</v>
          </cell>
          <cell r="C76" t="str">
            <v>X</v>
          </cell>
          <cell r="D76">
            <v>0.12</v>
          </cell>
          <cell r="E76">
            <v>0.39</v>
          </cell>
          <cell r="F76">
            <v>0.06</v>
          </cell>
          <cell r="G76">
            <v>0.1</v>
          </cell>
          <cell r="H76">
            <v>0</v>
          </cell>
          <cell r="I76" t="str">
            <v>ERKEK PANTOLON</v>
          </cell>
          <cell r="J76" t="str">
            <v>AD</v>
          </cell>
        </row>
        <row r="77">
          <cell r="A77" t="str">
            <v>6203.43.19.00.00</v>
          </cell>
          <cell r="B77" t="str">
            <v>X</v>
          </cell>
          <cell r="C77" t="str">
            <v>X</v>
          </cell>
          <cell r="D77">
            <v>0.12</v>
          </cell>
          <cell r="E77">
            <v>0.39</v>
          </cell>
          <cell r="F77">
            <v>0.06</v>
          </cell>
          <cell r="G77">
            <v>0.1</v>
          </cell>
          <cell r="H77">
            <v>0</v>
          </cell>
          <cell r="I77" t="str">
            <v>ERKEK PANTOLON</v>
          </cell>
          <cell r="J77" t="str">
            <v>AD</v>
          </cell>
        </row>
        <row r="78">
          <cell r="A78" t="str">
            <v>6203.43.90.00.00</v>
          </cell>
          <cell r="B78" t="str">
            <v>X</v>
          </cell>
          <cell r="C78">
            <v>0</v>
          </cell>
          <cell r="D78">
            <v>0.12</v>
          </cell>
          <cell r="E78">
            <v>0.39</v>
          </cell>
          <cell r="F78">
            <v>0.06</v>
          </cell>
          <cell r="G78">
            <v>0.1</v>
          </cell>
          <cell r="H78">
            <v>0</v>
          </cell>
          <cell r="I78" t="str">
            <v>ERKEK PANTOLON</v>
          </cell>
          <cell r="J78" t="str">
            <v>AD</v>
          </cell>
        </row>
        <row r="79">
          <cell r="A79" t="str">
            <v>6203.49.19.00.00</v>
          </cell>
          <cell r="B79" t="str">
            <v>X</v>
          </cell>
          <cell r="C79">
            <v>0</v>
          </cell>
          <cell r="D79">
            <v>0.12</v>
          </cell>
          <cell r="E79">
            <v>0.39</v>
          </cell>
          <cell r="F79">
            <v>0.06</v>
          </cell>
          <cell r="G79">
            <v>0.1</v>
          </cell>
          <cell r="H79">
            <v>0</v>
          </cell>
          <cell r="I79" t="str">
            <v>PANTOLON</v>
          </cell>
          <cell r="J79" t="str">
            <v>AD</v>
          </cell>
        </row>
        <row r="80">
          <cell r="A80" t="str">
            <v>6203.49.50.00.00</v>
          </cell>
          <cell r="B80" t="str">
            <v>X</v>
          </cell>
          <cell r="C80">
            <v>0</v>
          </cell>
          <cell r="D80">
            <v>0.12</v>
          </cell>
          <cell r="E80">
            <v>0.39</v>
          </cell>
          <cell r="F80">
            <v>0.06</v>
          </cell>
          <cell r="G80">
            <v>0.1</v>
          </cell>
          <cell r="H80">
            <v>0</v>
          </cell>
          <cell r="I80" t="str">
            <v>PANTOLON</v>
          </cell>
          <cell r="J80" t="str">
            <v>AD</v>
          </cell>
        </row>
        <row r="81">
          <cell r="A81" t="str">
            <v>6203.49.90.00.00</v>
          </cell>
          <cell r="B81" t="str">
            <v>X</v>
          </cell>
          <cell r="C81" t="str">
            <v>X</v>
          </cell>
          <cell r="D81">
            <v>0.12</v>
          </cell>
          <cell r="E81">
            <v>0.39</v>
          </cell>
          <cell r="F81">
            <v>0.06</v>
          </cell>
          <cell r="G81">
            <v>0.1</v>
          </cell>
          <cell r="H81">
            <v>0</v>
          </cell>
          <cell r="I81" t="str">
            <v>ERKEK PANTOLON</v>
          </cell>
          <cell r="J81" t="str">
            <v>AD</v>
          </cell>
        </row>
        <row r="82">
          <cell r="A82" t="str">
            <v>6204.33.90.00.00</v>
          </cell>
          <cell r="B82" t="str">
            <v>X</v>
          </cell>
          <cell r="C82" t="str">
            <v>X</v>
          </cell>
          <cell r="D82">
            <v>0.12</v>
          </cell>
          <cell r="E82">
            <v>0.39</v>
          </cell>
          <cell r="F82">
            <v>0.06</v>
          </cell>
          <cell r="G82">
            <v>0.1</v>
          </cell>
          <cell r="H82">
            <v>0</v>
          </cell>
          <cell r="I82" t="str">
            <v>KADIN CEKET</v>
          </cell>
          <cell r="J82" t="str">
            <v>AD</v>
          </cell>
        </row>
        <row r="83">
          <cell r="A83" t="str">
            <v>6204.44.00.00.19</v>
          </cell>
          <cell r="B83" t="str">
            <v>X</v>
          </cell>
          <cell r="C83" t="str">
            <v>X</v>
          </cell>
          <cell r="D83">
            <v>0.12</v>
          </cell>
          <cell r="E83">
            <v>0.39</v>
          </cell>
          <cell r="F83">
            <v>0.06</v>
          </cell>
          <cell r="G83">
            <v>0.1</v>
          </cell>
          <cell r="H83">
            <v>0</v>
          </cell>
          <cell r="I83" t="str">
            <v>ELBİSE</v>
          </cell>
          <cell r="J83" t="str">
            <v>AD</v>
          </cell>
        </row>
        <row r="84">
          <cell r="A84" t="str">
            <v>6204.52.00.00.18</v>
          </cell>
          <cell r="B84" t="str">
            <v>X</v>
          </cell>
          <cell r="C84" t="str">
            <v>X</v>
          </cell>
          <cell r="D84">
            <v>0.12</v>
          </cell>
          <cell r="E84">
            <v>0.39</v>
          </cell>
          <cell r="F84">
            <v>0.06</v>
          </cell>
          <cell r="G84">
            <v>0.1</v>
          </cell>
          <cell r="H84">
            <v>0</v>
          </cell>
          <cell r="I84" t="str">
            <v>ETEK</v>
          </cell>
          <cell r="J84" t="str">
            <v>AD</v>
          </cell>
        </row>
        <row r="85">
          <cell r="A85" t="str">
            <v>6204.53.00.00.00</v>
          </cell>
          <cell r="B85" t="str">
            <v>X</v>
          </cell>
          <cell r="C85" t="str">
            <v>X</v>
          </cell>
          <cell r="D85">
            <v>0.12</v>
          </cell>
          <cell r="E85">
            <v>0.39</v>
          </cell>
          <cell r="F85">
            <v>0.06</v>
          </cell>
          <cell r="G85">
            <v>0.1</v>
          </cell>
          <cell r="H85">
            <v>0</v>
          </cell>
          <cell r="I85" t="str">
            <v>KADIN PANTOLON ETEK</v>
          </cell>
          <cell r="J85" t="str">
            <v>AD</v>
          </cell>
        </row>
        <row r="86">
          <cell r="A86" t="str">
            <v>6204.62.31.00.00</v>
          </cell>
          <cell r="B86" t="str">
            <v>X</v>
          </cell>
          <cell r="C86">
            <v>0</v>
          </cell>
          <cell r="D86">
            <v>0.12</v>
          </cell>
          <cell r="E86">
            <v>0.39</v>
          </cell>
          <cell r="F86">
            <v>0.06</v>
          </cell>
          <cell r="G86">
            <v>0.1</v>
          </cell>
          <cell r="H86">
            <v>0</v>
          </cell>
          <cell r="I86" t="str">
            <v>KADIN DENİM PANTOLON</v>
          </cell>
          <cell r="J86" t="str">
            <v>AD</v>
          </cell>
        </row>
        <row r="87">
          <cell r="A87" t="str">
            <v>6204.62.39.00.00</v>
          </cell>
          <cell r="B87" t="str">
            <v>X</v>
          </cell>
          <cell r="C87" t="str">
            <v>X</v>
          </cell>
          <cell r="D87">
            <v>0.12</v>
          </cell>
          <cell r="E87">
            <v>0.39</v>
          </cell>
          <cell r="F87">
            <v>0.06</v>
          </cell>
          <cell r="G87">
            <v>0.1</v>
          </cell>
          <cell r="H87">
            <v>0</v>
          </cell>
          <cell r="I87" t="str">
            <v>KADIN PANTOLON</v>
          </cell>
          <cell r="J87" t="str">
            <v>AD</v>
          </cell>
        </row>
        <row r="88">
          <cell r="A88" t="str">
            <v>6204.63.18.00.00</v>
          </cell>
          <cell r="B88" t="str">
            <v>X</v>
          </cell>
          <cell r="C88">
            <v>0</v>
          </cell>
          <cell r="D88">
            <v>0.12</v>
          </cell>
          <cell r="E88">
            <v>0.39</v>
          </cell>
          <cell r="F88">
            <v>0.06</v>
          </cell>
          <cell r="G88">
            <v>0.1</v>
          </cell>
          <cell r="H88">
            <v>0</v>
          </cell>
          <cell r="I88" t="str">
            <v>KADIN PANTOLON</v>
          </cell>
          <cell r="J88" t="str">
            <v>AD</v>
          </cell>
        </row>
        <row r="89">
          <cell r="A89" t="str">
            <v>6204.63.90.00.00</v>
          </cell>
          <cell r="B89" t="str">
            <v>X</v>
          </cell>
          <cell r="C89" t="str">
            <v>X</v>
          </cell>
          <cell r="D89">
            <v>0.12</v>
          </cell>
          <cell r="E89">
            <v>0.39</v>
          </cell>
          <cell r="F89">
            <v>0.06</v>
          </cell>
          <cell r="G89">
            <v>0.1</v>
          </cell>
          <cell r="H89">
            <v>0</v>
          </cell>
          <cell r="I89" t="str">
            <v>TULUM</v>
          </cell>
          <cell r="J89" t="str">
            <v>AD</v>
          </cell>
        </row>
        <row r="90">
          <cell r="A90" t="str">
            <v>6204.69.18.00.00</v>
          </cell>
          <cell r="B90" t="str">
            <v>X</v>
          </cell>
          <cell r="C90">
            <v>0</v>
          </cell>
          <cell r="D90">
            <v>0.12</v>
          </cell>
          <cell r="E90">
            <v>0.39</v>
          </cell>
          <cell r="F90">
            <v>0.06</v>
          </cell>
          <cell r="G90">
            <v>0.1</v>
          </cell>
          <cell r="H90">
            <v>0</v>
          </cell>
          <cell r="I90" t="str">
            <v>KADIN PANTOLON</v>
          </cell>
          <cell r="J90" t="str">
            <v>AD</v>
          </cell>
        </row>
        <row r="91">
          <cell r="A91" t="str">
            <v>6204.69.90.00.00</v>
          </cell>
          <cell r="B91" t="str">
            <v>X</v>
          </cell>
          <cell r="C91">
            <v>0</v>
          </cell>
          <cell r="D91">
            <v>0.12</v>
          </cell>
          <cell r="E91">
            <v>0.39</v>
          </cell>
          <cell r="F91">
            <v>0.06</v>
          </cell>
          <cell r="G91">
            <v>0.1</v>
          </cell>
          <cell r="H91">
            <v>0</v>
          </cell>
          <cell r="I91" t="str">
            <v>KADIN PANTOLON</v>
          </cell>
          <cell r="J91" t="str">
            <v>AD</v>
          </cell>
        </row>
        <row r="92">
          <cell r="A92" t="str">
            <v>6205.20.00.00.18</v>
          </cell>
          <cell r="B92" t="str">
            <v>X</v>
          </cell>
          <cell r="C92">
            <v>0</v>
          </cell>
          <cell r="D92">
            <v>0.12</v>
          </cell>
          <cell r="E92">
            <v>0.39</v>
          </cell>
          <cell r="F92">
            <v>0.06</v>
          </cell>
          <cell r="G92">
            <v>0.1</v>
          </cell>
          <cell r="H92">
            <v>0</v>
          </cell>
          <cell r="I92" t="str">
            <v>ERKEK GÖMLEK</v>
          </cell>
          <cell r="J92" t="str">
            <v>AD</v>
          </cell>
        </row>
        <row r="93">
          <cell r="A93" t="str">
            <v>6205.30.00.00.00</v>
          </cell>
          <cell r="B93" t="str">
            <v>X</v>
          </cell>
          <cell r="C93">
            <v>0</v>
          </cell>
          <cell r="D93">
            <v>0.12</v>
          </cell>
          <cell r="E93">
            <v>0.39</v>
          </cell>
          <cell r="F93">
            <v>0.06</v>
          </cell>
          <cell r="G93">
            <v>0.1</v>
          </cell>
          <cell r="H93">
            <v>0</v>
          </cell>
          <cell r="I93" t="str">
            <v>ERKEK GÖMLEK</v>
          </cell>
          <cell r="J93" t="str">
            <v>AD</v>
          </cell>
        </row>
        <row r="94">
          <cell r="A94" t="str">
            <v>6205.90.80.00.11</v>
          </cell>
          <cell r="B94" t="str">
            <v>X</v>
          </cell>
          <cell r="C94">
            <v>0</v>
          </cell>
          <cell r="D94">
            <v>0.12</v>
          </cell>
          <cell r="E94">
            <v>0.39</v>
          </cell>
          <cell r="F94">
            <v>0.06</v>
          </cell>
          <cell r="G94">
            <v>0.1</v>
          </cell>
          <cell r="H94">
            <v>0</v>
          </cell>
          <cell r="I94" t="str">
            <v>ERKEK GÖMLEK</v>
          </cell>
          <cell r="J94" t="str">
            <v>AD</v>
          </cell>
        </row>
        <row r="95">
          <cell r="A95" t="str">
            <v>6205.90.80.00.18</v>
          </cell>
          <cell r="B95" t="str">
            <v>X</v>
          </cell>
          <cell r="C95">
            <v>0</v>
          </cell>
          <cell r="D95">
            <v>0.12</v>
          </cell>
          <cell r="E95">
            <v>0.39</v>
          </cell>
          <cell r="F95">
            <v>0.06</v>
          </cell>
          <cell r="G95">
            <v>0.1</v>
          </cell>
          <cell r="H95">
            <v>0</v>
          </cell>
          <cell r="I95" t="str">
            <v>ERKEK GÖMLEK</v>
          </cell>
          <cell r="J95" t="str">
            <v>AD</v>
          </cell>
        </row>
        <row r="96">
          <cell r="A96" t="str">
            <v>6206.10.00.00.00</v>
          </cell>
          <cell r="B96" t="str">
            <v>X</v>
          </cell>
          <cell r="C96">
            <v>0</v>
          </cell>
          <cell r="D96">
            <v>0.12</v>
          </cell>
          <cell r="E96">
            <v>0.39</v>
          </cell>
          <cell r="F96">
            <v>0.06</v>
          </cell>
          <cell r="G96">
            <v>0.1</v>
          </cell>
          <cell r="H96">
            <v>0</v>
          </cell>
          <cell r="I96" t="str">
            <v>KADIN GÖMLEK-BLUZ</v>
          </cell>
          <cell r="J96" t="str">
            <v>AD</v>
          </cell>
        </row>
        <row r="97">
          <cell r="A97" t="str">
            <v>6206.40.00.00.00</v>
          </cell>
          <cell r="B97" t="str">
            <v>X</v>
          </cell>
          <cell r="C97" t="str">
            <v>X</v>
          </cell>
          <cell r="D97">
            <v>0.12</v>
          </cell>
          <cell r="E97">
            <v>0.39</v>
          </cell>
          <cell r="F97">
            <v>0.06</v>
          </cell>
          <cell r="G97">
            <v>0.1</v>
          </cell>
          <cell r="H97">
            <v>0</v>
          </cell>
          <cell r="I97" t="str">
            <v>KADIN GÖMLEK-BLUZ</v>
          </cell>
          <cell r="J97" t="str">
            <v>AD</v>
          </cell>
        </row>
        <row r="98">
          <cell r="A98" t="str">
            <v>6208.29.00.00.11</v>
          </cell>
          <cell r="B98" t="str">
            <v>X</v>
          </cell>
          <cell r="C98">
            <v>0</v>
          </cell>
          <cell r="D98">
            <v>0.12</v>
          </cell>
          <cell r="E98">
            <v>0.39</v>
          </cell>
          <cell r="F98">
            <v>0.06</v>
          </cell>
          <cell r="G98">
            <v>0.1</v>
          </cell>
          <cell r="H98">
            <v>0</v>
          </cell>
          <cell r="I98" t="str">
            <v>GECELİK</v>
          </cell>
          <cell r="J98" t="str">
            <v>AD</v>
          </cell>
        </row>
        <row r="99">
          <cell r="A99" t="str">
            <v>6208.99.00.00.00</v>
          </cell>
          <cell r="B99" t="str">
            <v>X</v>
          </cell>
          <cell r="C99">
            <v>0</v>
          </cell>
          <cell r="D99">
            <v>0.12</v>
          </cell>
          <cell r="E99">
            <v>0.39</v>
          </cell>
          <cell r="F99">
            <v>0.06</v>
          </cell>
          <cell r="G99">
            <v>0.1</v>
          </cell>
          <cell r="H99">
            <v>0</v>
          </cell>
          <cell r="I99" t="str">
            <v>KADIN ÜST GİYİM</v>
          </cell>
          <cell r="J99" t="str">
            <v>AD</v>
          </cell>
        </row>
        <row r="100">
          <cell r="A100" t="str">
            <v>6210.20.00.00.00</v>
          </cell>
          <cell r="B100" t="str">
            <v>x</v>
          </cell>
          <cell r="C100" t="str">
            <v>x</v>
          </cell>
          <cell r="D100">
            <v>0.12</v>
          </cell>
          <cell r="E100">
            <v>0.39</v>
          </cell>
          <cell r="F100">
            <v>0.06</v>
          </cell>
          <cell r="G100">
            <v>0.1</v>
          </cell>
          <cell r="H100">
            <v>0</v>
          </cell>
          <cell r="I100" t="str">
            <v>DIŞ GİYİM</v>
          </cell>
          <cell r="J100" t="str">
            <v>AD</v>
          </cell>
        </row>
        <row r="101">
          <cell r="A101" t="str">
            <v>6210.30.00.00.00</v>
          </cell>
          <cell r="B101" t="str">
            <v>X</v>
          </cell>
          <cell r="C101">
            <v>0</v>
          </cell>
          <cell r="D101">
            <v>0.12</v>
          </cell>
          <cell r="E101">
            <v>0.39</v>
          </cell>
          <cell r="F101">
            <v>0.06</v>
          </cell>
          <cell r="G101">
            <v>0.1</v>
          </cell>
          <cell r="H101">
            <v>0</v>
          </cell>
          <cell r="I101" t="str">
            <v>DIŞ GİYİM</v>
          </cell>
          <cell r="J101" t="str">
            <v>AD</v>
          </cell>
        </row>
        <row r="102">
          <cell r="A102" t="str">
            <v>6211.42.90.00.00</v>
          </cell>
          <cell r="B102" t="str">
            <v>X</v>
          </cell>
          <cell r="C102" t="str">
            <v>X</v>
          </cell>
          <cell r="D102">
            <v>0.12</v>
          </cell>
          <cell r="E102">
            <v>0.39</v>
          </cell>
          <cell r="F102">
            <v>0.06</v>
          </cell>
          <cell r="G102">
            <v>0.1</v>
          </cell>
          <cell r="H102">
            <v>0</v>
          </cell>
          <cell r="I102" t="str">
            <v>KADIN DİĞER GİYİM</v>
          </cell>
          <cell r="J102" t="str">
            <v>AD</v>
          </cell>
        </row>
        <row r="103">
          <cell r="A103" t="str">
            <v>6211.43.10.00.00</v>
          </cell>
          <cell r="B103" t="str">
            <v>X</v>
          </cell>
          <cell r="C103">
            <v>0</v>
          </cell>
          <cell r="D103">
            <v>0.12</v>
          </cell>
          <cell r="E103">
            <v>0.39</v>
          </cell>
          <cell r="F103">
            <v>0.06</v>
          </cell>
          <cell r="G103">
            <v>0.1</v>
          </cell>
          <cell r="H103">
            <v>0</v>
          </cell>
          <cell r="I103" t="str">
            <v>KADIN GİYİM</v>
          </cell>
          <cell r="J103" t="str">
            <v>AD</v>
          </cell>
        </row>
        <row r="104">
          <cell r="A104" t="str">
            <v>6211.43.41.00.00</v>
          </cell>
          <cell r="B104" t="str">
            <v>X</v>
          </cell>
          <cell r="C104">
            <v>0</v>
          </cell>
          <cell r="D104">
            <v>0.12</v>
          </cell>
          <cell r="E104">
            <v>0.39</v>
          </cell>
          <cell r="F104">
            <v>0.06</v>
          </cell>
          <cell r="G104">
            <v>0.1</v>
          </cell>
          <cell r="H104">
            <v>0</v>
          </cell>
          <cell r="I104" t="str">
            <v>KADIN DİĞER GİYİM</v>
          </cell>
          <cell r="J104" t="str">
            <v>AD</v>
          </cell>
        </row>
        <row r="105">
          <cell r="A105" t="str">
            <v>6211.49.00.00.19</v>
          </cell>
          <cell r="B105" t="str">
            <v>X</v>
          </cell>
          <cell r="C105">
            <v>0</v>
          </cell>
          <cell r="D105">
            <v>0.12</v>
          </cell>
          <cell r="E105">
            <v>0.39</v>
          </cell>
          <cell r="F105">
            <v>0.06</v>
          </cell>
          <cell r="G105">
            <v>0.1</v>
          </cell>
          <cell r="H105">
            <v>0</v>
          </cell>
          <cell r="I105" t="str">
            <v>KADIN DİĞER GİYİM</v>
          </cell>
          <cell r="J105" t="str">
            <v>AD</v>
          </cell>
        </row>
        <row r="106">
          <cell r="A106" t="str">
            <v>6212.10.90.00.00</v>
          </cell>
          <cell r="B106" t="str">
            <v>X</v>
          </cell>
          <cell r="C106" t="str">
            <v>X</v>
          </cell>
          <cell r="D106">
            <v>6.5000000000000002E-2</v>
          </cell>
          <cell r="E106">
            <v>0.39</v>
          </cell>
          <cell r="F106">
            <v>0.06</v>
          </cell>
          <cell r="G106">
            <v>0.1</v>
          </cell>
          <cell r="H106">
            <v>0</v>
          </cell>
          <cell r="I106" t="str">
            <v>KADIN SÜTYEN</v>
          </cell>
          <cell r="J106" t="str">
            <v>AD</v>
          </cell>
        </row>
        <row r="107">
          <cell r="A107" t="str">
            <v>6217.10.00.00.19</v>
          </cell>
          <cell r="B107" t="str">
            <v>X</v>
          </cell>
          <cell r="C107" t="str">
            <v>X</v>
          </cell>
          <cell r="D107">
            <v>6.3E-2</v>
          </cell>
          <cell r="E107">
            <v>0.39</v>
          </cell>
          <cell r="F107">
            <v>0.06</v>
          </cell>
          <cell r="G107">
            <v>0.1</v>
          </cell>
          <cell r="H107">
            <v>0</v>
          </cell>
          <cell r="I107" t="str">
            <v>GİYİM AKSESUAR</v>
          </cell>
          <cell r="J107" t="str">
            <v>AD</v>
          </cell>
        </row>
        <row r="108">
          <cell r="A108" t="str">
            <v>6302.60.00.00.11</v>
          </cell>
          <cell r="B108" t="str">
            <v>X</v>
          </cell>
          <cell r="C108">
            <v>0</v>
          </cell>
          <cell r="D108">
            <v>0.12</v>
          </cell>
          <cell r="E108">
            <v>0.28999999999999998</v>
          </cell>
          <cell r="F108">
            <v>0.06</v>
          </cell>
          <cell r="G108">
            <v>0.1</v>
          </cell>
          <cell r="H108">
            <v>0</v>
          </cell>
          <cell r="I108" t="str">
            <v>HAVLU</v>
          </cell>
          <cell r="J108" t="str">
            <v>AD</v>
          </cell>
        </row>
        <row r="109">
          <cell r="A109" t="str">
            <v>6302.93.90.00.00</v>
          </cell>
          <cell r="B109" t="str">
            <v>X</v>
          </cell>
          <cell r="C109">
            <v>0</v>
          </cell>
          <cell r="D109">
            <v>0.12</v>
          </cell>
          <cell r="E109">
            <v>0.28999999999999998</v>
          </cell>
          <cell r="F109">
            <v>0.06</v>
          </cell>
          <cell r="G109">
            <v>0.1</v>
          </cell>
          <cell r="H109">
            <v>0</v>
          </cell>
          <cell r="I109" t="str">
            <v>HAVLU</v>
          </cell>
          <cell r="J109" t="str">
            <v>AD</v>
          </cell>
        </row>
        <row r="110">
          <cell r="A110" t="str">
            <v>6307.90.98.00.19</v>
          </cell>
          <cell r="B110" t="str">
            <v>X</v>
          </cell>
          <cell r="C110" t="str">
            <v>X</v>
          </cell>
          <cell r="D110">
            <v>6.5000000000000002E-2</v>
          </cell>
          <cell r="E110">
            <v>0.2</v>
          </cell>
          <cell r="F110">
            <v>0.06</v>
          </cell>
          <cell r="G110">
            <v>0.1</v>
          </cell>
          <cell r="H110">
            <v>0</v>
          </cell>
          <cell r="I110" t="str">
            <v>DİĞER EŞYA</v>
          </cell>
          <cell r="J110" t="str">
            <v>AD</v>
          </cell>
        </row>
        <row r="111">
          <cell r="A111" t="str">
            <v>6402.19.00.00.00</v>
          </cell>
          <cell r="B111" t="str">
            <v>X</v>
          </cell>
          <cell r="C111" t="str">
            <v>X</v>
          </cell>
          <cell r="D111">
            <v>0.16900000000000001</v>
          </cell>
          <cell r="E111">
            <v>0.4</v>
          </cell>
          <cell r="F111">
            <v>0.06</v>
          </cell>
          <cell r="G111">
            <v>0.1</v>
          </cell>
          <cell r="H111" t="str">
            <v>X</v>
          </cell>
          <cell r="I111" t="str">
            <v>SPOR AYAKKABI</v>
          </cell>
          <cell r="J111" t="str">
            <v>PR</v>
          </cell>
        </row>
        <row r="112">
          <cell r="A112" t="str">
            <v>6402.99.93.00.00</v>
          </cell>
          <cell r="B112" t="str">
            <v>X</v>
          </cell>
          <cell r="C112" t="str">
            <v>X</v>
          </cell>
          <cell r="D112">
            <v>0.16800000000000001</v>
          </cell>
          <cell r="E112">
            <v>0.3</v>
          </cell>
          <cell r="F112">
            <v>0.06</v>
          </cell>
          <cell r="G112">
            <v>0.1</v>
          </cell>
          <cell r="H112" t="str">
            <v>X</v>
          </cell>
          <cell r="I112" t="str">
            <v>AYAKKABI</v>
          </cell>
          <cell r="J112" t="str">
            <v>PR</v>
          </cell>
        </row>
        <row r="113">
          <cell r="A113" t="str">
            <v>6403.19.00.00.00</v>
          </cell>
          <cell r="B113" t="str">
            <v>X</v>
          </cell>
          <cell r="C113" t="str">
            <v>X</v>
          </cell>
          <cell r="D113">
            <v>0.08</v>
          </cell>
          <cell r="E113">
            <v>0.4</v>
          </cell>
          <cell r="F113">
            <v>0.06</v>
          </cell>
          <cell r="G113">
            <v>0.1</v>
          </cell>
          <cell r="H113" t="str">
            <v>X</v>
          </cell>
          <cell r="I113" t="str">
            <v>SPOR AYAKKABI</v>
          </cell>
          <cell r="J113" t="str">
            <v>PR</v>
          </cell>
        </row>
        <row r="114">
          <cell r="A114" t="str">
            <v>6403.99.93.00.00</v>
          </cell>
          <cell r="B114" t="str">
            <v>X</v>
          </cell>
          <cell r="C114" t="str">
            <v>X</v>
          </cell>
          <cell r="D114">
            <v>0.08</v>
          </cell>
          <cell r="E114">
            <v>0.4</v>
          </cell>
          <cell r="F114">
            <v>0.06</v>
          </cell>
          <cell r="G114">
            <v>0.1</v>
          </cell>
          <cell r="H114" t="str">
            <v>X</v>
          </cell>
          <cell r="I114" t="str">
            <v>AYAKKABI</v>
          </cell>
          <cell r="J114" t="str">
            <v>PR</v>
          </cell>
        </row>
        <row r="115">
          <cell r="A115" t="str">
            <v>6404.11.00.00.00</v>
          </cell>
          <cell r="B115" t="str">
            <v>X</v>
          </cell>
          <cell r="C115" t="str">
            <v>X</v>
          </cell>
          <cell r="D115">
            <v>0.16900000000000001</v>
          </cell>
          <cell r="E115">
            <v>0.4</v>
          </cell>
          <cell r="F115">
            <v>0.06</v>
          </cell>
          <cell r="G115">
            <v>0.1</v>
          </cell>
          <cell r="H115" t="str">
            <v>X</v>
          </cell>
          <cell r="I115" t="str">
            <v>SPOR AYAKKABI</v>
          </cell>
          <cell r="J115" t="str">
            <v>PR</v>
          </cell>
        </row>
        <row r="116">
          <cell r="A116" t="str">
            <v>6404.19.10.00.00</v>
          </cell>
          <cell r="B116" t="str">
            <v>X</v>
          </cell>
          <cell r="C116" t="str">
            <v>X</v>
          </cell>
          <cell r="D116">
            <v>0.16900000000000001</v>
          </cell>
          <cell r="E116">
            <v>0.4</v>
          </cell>
          <cell r="F116">
            <v>0.06</v>
          </cell>
          <cell r="G116">
            <v>0.1</v>
          </cell>
          <cell r="H116" t="str">
            <v>X</v>
          </cell>
          <cell r="I116" t="str">
            <v>TERLİK</v>
          </cell>
          <cell r="J116" t="str">
            <v>PR</v>
          </cell>
        </row>
        <row r="117">
          <cell r="A117" t="str">
            <v>6505.00.10.00.00</v>
          </cell>
          <cell r="B117" t="str">
            <v>X</v>
          </cell>
          <cell r="C117">
            <v>0</v>
          </cell>
          <cell r="D117">
            <v>5.7000000000000002E-2</v>
          </cell>
          <cell r="E117">
            <v>0.2</v>
          </cell>
          <cell r="F117">
            <v>0.06</v>
          </cell>
          <cell r="G117">
            <v>0.1</v>
          </cell>
          <cell r="H117">
            <v>0</v>
          </cell>
          <cell r="I117" t="str">
            <v>ŞAPKA</v>
          </cell>
          <cell r="J117" t="str">
            <v>AD</v>
          </cell>
        </row>
        <row r="118">
          <cell r="A118" t="str">
            <v>6505.00.30.00.00</v>
          </cell>
          <cell r="B118" t="str">
            <v>X</v>
          </cell>
          <cell r="C118">
            <v>0</v>
          </cell>
          <cell r="D118">
            <v>2.7E-2</v>
          </cell>
          <cell r="E118">
            <v>0.2</v>
          </cell>
          <cell r="F118">
            <v>0.06</v>
          </cell>
          <cell r="G118">
            <v>0.1</v>
          </cell>
          <cell r="H118">
            <v>0</v>
          </cell>
          <cell r="I118" t="str">
            <v>ŞAPKA</v>
          </cell>
          <cell r="J118" t="str">
            <v>AD</v>
          </cell>
        </row>
        <row r="119">
          <cell r="A119" t="str">
            <v>6505.00.90.20.00</v>
          </cell>
          <cell r="B119" t="str">
            <v>X</v>
          </cell>
          <cell r="C119">
            <v>0</v>
          </cell>
          <cell r="D119">
            <v>2.7E-2</v>
          </cell>
          <cell r="E119">
            <v>0.2</v>
          </cell>
          <cell r="F119">
            <v>0.06</v>
          </cell>
          <cell r="G119">
            <v>0.1</v>
          </cell>
          <cell r="H119">
            <v>0</v>
          </cell>
          <cell r="I119" t="str">
            <v>ŞAPKA</v>
          </cell>
          <cell r="J119" t="str">
            <v>AD</v>
          </cell>
        </row>
        <row r="120">
          <cell r="A120" t="str">
            <v>9506.91.90.00.00</v>
          </cell>
          <cell r="B120">
            <v>0</v>
          </cell>
          <cell r="C120">
            <v>0</v>
          </cell>
          <cell r="D120">
            <v>2.7E-2</v>
          </cell>
          <cell r="E120">
            <v>0.2</v>
          </cell>
          <cell r="F120">
            <v>0.06</v>
          </cell>
          <cell r="G120">
            <v>0.2</v>
          </cell>
          <cell r="H120">
            <v>0</v>
          </cell>
          <cell r="I120" t="str">
            <v>SPOR MALZEMESİ</v>
          </cell>
          <cell r="J120" t="str">
            <v>AD</v>
          </cell>
        </row>
        <row r="121">
          <cell r="A121" t="str">
            <v>9506.99.90.00.00</v>
          </cell>
          <cell r="B121">
            <v>0</v>
          </cell>
          <cell r="C121">
            <v>0</v>
          </cell>
          <cell r="D121">
            <v>2.7E-2</v>
          </cell>
          <cell r="E121">
            <v>0.2</v>
          </cell>
          <cell r="F121">
            <v>0.06</v>
          </cell>
          <cell r="G121">
            <v>0.2</v>
          </cell>
          <cell r="H121">
            <v>0</v>
          </cell>
          <cell r="I121" t="str">
            <v>SPOR MALZEMESİ</v>
          </cell>
          <cell r="J121" t="str">
            <v>AD</v>
          </cell>
        </row>
        <row r="122">
          <cell r="A122" t="str">
            <v>9615.11.00.00.00</v>
          </cell>
          <cell r="B122">
            <v>0</v>
          </cell>
          <cell r="C122">
            <v>0</v>
          </cell>
          <cell r="D122">
            <v>2.7E-2</v>
          </cell>
          <cell r="E122">
            <v>0.25</v>
          </cell>
          <cell r="F122">
            <v>0.06</v>
          </cell>
          <cell r="G122">
            <v>0.2</v>
          </cell>
          <cell r="H122">
            <v>0</v>
          </cell>
          <cell r="I122" t="str">
            <v>SAÇ AKSESUARI</v>
          </cell>
          <cell r="J122" t="str">
            <v>AD</v>
          </cell>
        </row>
        <row r="123">
          <cell r="A123" t="str">
            <v>9615.19.00.00.00</v>
          </cell>
          <cell r="B123">
            <v>0</v>
          </cell>
          <cell r="C123">
            <v>0</v>
          </cell>
          <cell r="D123">
            <v>2.7E-2</v>
          </cell>
          <cell r="E123">
            <v>0.25</v>
          </cell>
          <cell r="F123">
            <v>0.06</v>
          </cell>
          <cell r="G123">
            <v>0.2</v>
          </cell>
          <cell r="H123">
            <v>0</v>
          </cell>
          <cell r="I123" t="str">
            <v>TOKA</v>
          </cell>
          <cell r="J123" t="str">
            <v>AD</v>
          </cell>
        </row>
        <row r="124">
          <cell r="A124">
            <v>0</v>
          </cell>
          <cell r="B124" t="str"/>
          <cell r="C124" t="e">
            <v>#N/A</v>
          </cell>
          <cell r="D124" t="e">
            <v>#N/A</v>
          </cell>
          <cell r="E124" t="e">
            <v>#N/A</v>
          </cell>
          <cell r="F124" t="e">
            <v>#N/A</v>
          </cell>
          <cell r="G124" t="e">
            <v>#N/A</v>
          </cell>
          <cell r="H124" t="e">
            <v>#N/A</v>
          </cell>
          <cell r="I124" t="e">
            <v>#N/A</v>
          </cell>
          <cell r="J124" t="e">
            <v>#N/A</v>
          </cell>
        </row>
        <row r="125">
          <cell r="B125" t="str"/>
          <cell r="C125" t="e">
            <v>#N/A</v>
          </cell>
          <cell r="D125" t="e">
            <v>#N/A</v>
          </cell>
          <cell r="E125" t="e">
            <v>#N/A</v>
          </cell>
          <cell r="F125" t="e">
            <v>#N/A</v>
          </cell>
          <cell r="G125" t="e">
            <v>#N/A</v>
          </cell>
          <cell r="H125" t="e">
            <v>#N/A</v>
          </cell>
          <cell r="I125" t="e">
            <v>#N/A</v>
          </cell>
          <cell r="J125" t="e">
            <v>#N/A</v>
          </cell>
        </row>
      </sheetData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9"/>
  <sheetViews>
    <sheetView showZeros="0" tabSelected="1" zoomScale="70" zoomScaleNormal="70" workbookViewId="0">
      <selection activeCell="H31" sqref="H31"/>
    </sheetView>
  </sheetViews>
  <sheetFormatPr baseColWidth="8" defaultColWidth="8.85546875" defaultRowHeight="12"/>
  <cols>
    <col width="15.7109375" bestFit="1" customWidth="1" style="6" min="1" max="1"/>
    <col width="22.140625" customWidth="1" style="6" min="2" max="2"/>
    <col width="19.5703125" customWidth="1" style="6" min="3" max="3"/>
    <col width="22.85546875" customWidth="1" style="6" min="4" max="4"/>
    <col width="33.140625" bestFit="1" customWidth="1" style="83" min="5" max="5"/>
    <col width="30" customWidth="1" style="6" min="6" max="6"/>
    <col width="27.5703125" bestFit="1" customWidth="1" style="6" min="7" max="7"/>
    <col width="27.7109375" customWidth="1" style="6" min="8" max="8"/>
    <col width="11.85546875" customWidth="1" style="6" min="9" max="9"/>
    <col width="11.28515625" customWidth="1" style="6" min="10" max="10"/>
    <col width="16" bestFit="1" customWidth="1" style="6" min="11" max="11"/>
    <col width="17.42578125" bestFit="1" customWidth="1" style="6" min="12" max="12"/>
    <col width="18.140625" customWidth="1" style="84" min="13" max="13"/>
    <col width="16.7109375" customWidth="1" style="6" min="14" max="14"/>
    <col width="21.140625" customWidth="1" style="6" min="15" max="16"/>
    <col width="15.7109375" bestFit="1" customWidth="1" style="85" min="17" max="17"/>
    <col width="22.42578125" bestFit="1" customWidth="1" style="85" min="18" max="18"/>
    <col width="22.42578125" customWidth="1" style="85" min="19" max="19"/>
    <col width="19.28515625" bestFit="1" customWidth="1" style="6" min="20" max="20"/>
    <col width="25.85546875" customWidth="1" style="6" min="21" max="21"/>
    <col width="11.7109375" bestFit="1" customWidth="1" style="6" min="22" max="22"/>
    <col width="10.7109375" bestFit="1" customWidth="1" style="6" min="23" max="23"/>
    <col width="23.7109375" bestFit="1" customWidth="1" style="6" min="24" max="24"/>
    <col width="24.7109375" customWidth="1" style="6" min="25" max="25"/>
    <col width="15.7109375" bestFit="1" customWidth="1" style="6" min="26" max="27"/>
    <col width="18.140625" bestFit="1" customWidth="1" style="6" min="28" max="28"/>
    <col width="12.7109375" bestFit="1" customWidth="1" style="6" min="29" max="30"/>
    <col width="30.85546875" bestFit="1" customWidth="1" style="6" min="31" max="31"/>
    <col width="27.28515625" bestFit="1" customWidth="1" style="6" min="32" max="32"/>
    <col width="8.85546875" customWidth="1" style="6" min="33" max="16384"/>
  </cols>
  <sheetData>
    <row r="1" ht="38.25" customHeight="1">
      <c r="A1" s="1" t="inlineStr">
        <is>
          <t>SOHO GROUP TAX CALCULATION SPREADSHEET</t>
        </is>
      </c>
      <c r="J1" s="2" t="n"/>
      <c r="K1" s="2" t="n"/>
      <c r="L1" s="2" t="n"/>
      <c r="M1" s="3" t="n"/>
      <c r="N1" s="4" t="n"/>
      <c r="O1" s="4" t="n"/>
      <c r="P1" s="4" t="n"/>
      <c r="Q1" s="5" t="n"/>
      <c r="R1" s="5" t="n"/>
      <c r="S1" s="5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</row>
    <row r="2" ht="24.75" customHeight="1">
      <c r="A2" s="7" t="inlineStr">
        <is>
          <t>INVOICE NO</t>
        </is>
      </c>
      <c r="B2" s="7" t="n"/>
      <c r="C2" s="7" t="inlineStr">
        <is>
          <t>TOTAL VALUE</t>
        </is>
      </c>
      <c r="D2" s="8">
        <f>SUM(L:L)</f>
        <v/>
      </c>
      <c r="E2" s="9" t="inlineStr">
        <is>
          <t>TRANSPORT COST</t>
        </is>
      </c>
      <c r="F2" s="10" t="n">
        <v>900</v>
      </c>
      <c r="G2" s="9" t="inlineStr">
        <is>
          <t>STORAGE COST</t>
        </is>
      </c>
      <c r="H2" s="10" t="n">
        <v>1000</v>
      </c>
      <c r="I2" s="2" t="n"/>
      <c r="J2" s="2" t="n"/>
      <c r="K2" s="2" t="n"/>
      <c r="L2" s="2" t="n"/>
      <c r="M2" s="2" t="n"/>
      <c r="N2" s="5" t="n"/>
      <c r="O2" s="5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</row>
    <row r="3" ht="10.5" customHeight="1">
      <c r="F3" s="11" t="inlineStr">
        <is>
          <t>USD</t>
        </is>
      </c>
      <c r="H3" s="11" t="inlineStr">
        <is>
          <t>USD</t>
        </is>
      </c>
      <c r="I3" s="2" t="n"/>
      <c r="J3" s="2" t="n"/>
      <c r="K3" s="2" t="n"/>
      <c r="L3" s="2" t="n"/>
      <c r="M3" s="2" t="n"/>
      <c r="N3" s="5" t="n"/>
      <c r="O3" s="5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 ht="26.25" customHeight="1">
      <c r="A4" s="17" t="inlineStr">
        <is>
          <t>INVOICE DATE</t>
        </is>
      </c>
      <c r="B4" s="12" t="n"/>
      <c r="C4" s="7" t="inlineStr">
        <is>
          <t>TOTAL QUANTITY</t>
        </is>
      </c>
      <c r="D4" s="13">
        <f>SUM(K:K)</f>
        <v/>
      </c>
      <c r="E4" s="14" t="inlineStr">
        <is>
          <t>INSURANCE COST</t>
        </is>
      </c>
      <c r="F4" s="10" t="n">
        <v>50</v>
      </c>
      <c r="G4" s="9" t="inlineStr">
        <is>
          <t>CURRENCY -USD/TL-</t>
        </is>
      </c>
      <c r="H4" s="15" t="n">
        <v>39.8</v>
      </c>
      <c r="I4" s="2" t="n"/>
      <c r="J4" s="2" t="n"/>
      <c r="K4" s="2" t="n"/>
      <c r="L4" s="2" t="n"/>
      <c r="M4" s="2" t="n"/>
      <c r="N4" s="5" t="n"/>
      <c r="O4" s="5" t="n"/>
      <c r="P4" s="16" t="n"/>
      <c r="Q4" s="16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 ht="11.25" customHeight="1">
      <c r="A5" s="86" t="n"/>
      <c r="F5" s="11" t="inlineStr">
        <is>
          <t>USD</t>
        </is>
      </c>
      <c r="H5" s="87" t="n"/>
      <c r="I5" s="2" t="n"/>
      <c r="J5" s="2" t="n"/>
      <c r="K5" s="2" t="n"/>
      <c r="L5" s="2" t="n"/>
      <c r="M5" s="2" t="n"/>
      <c r="N5" s="5" t="n"/>
      <c r="O5" s="5" t="n"/>
      <c r="P5" s="16" t="n"/>
      <c r="Q5" s="16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</row>
    <row r="6" ht="30" customHeight="1">
      <c r="A6" s="19" t="inlineStr">
        <is>
          <t>TOTAL CUSTOMS TAX</t>
        </is>
      </c>
      <c r="B6" s="19" t="inlineStr">
        <is>
          <t>TOTAL ADD. CUSTOMS TAX</t>
        </is>
      </c>
      <c r="C6" s="19" t="inlineStr">
        <is>
          <t xml:space="preserve">TOTAL KKDF </t>
        </is>
      </c>
      <c r="D6" s="19" t="inlineStr">
        <is>
          <t>TOTAL VAT (KKDF INCLUDED)</t>
        </is>
      </c>
      <c r="E6" s="19" t="inlineStr">
        <is>
          <t>TOTAL VAT (KKDF EXCLUDED)</t>
        </is>
      </c>
      <c r="F6" s="20" t="inlineStr">
        <is>
          <t>TOTAL TAX (KKDF INCLUDED)</t>
        </is>
      </c>
      <c r="G6" s="20" t="inlineStr">
        <is>
          <t>TOTAL TAX (KKDF EXCLUDED)</t>
        </is>
      </c>
      <c r="H6" s="21" t="inlineStr">
        <is>
          <t>TOTAL TAX TURKISH LIRA</t>
        </is>
      </c>
      <c r="I6" s="22" t="n"/>
      <c r="J6" s="22" t="n"/>
      <c r="K6" s="23" t="n"/>
      <c r="L6" s="22" t="n"/>
      <c r="M6" s="3" t="n"/>
      <c r="N6" s="4" t="n"/>
      <c r="O6" s="4" t="n"/>
      <c r="P6" s="4" t="n"/>
      <c r="Q6" s="5" t="n"/>
      <c r="R6" s="5" t="n"/>
      <c r="S6" s="5" t="n"/>
      <c r="T6" s="16" t="n"/>
      <c r="U6" s="16" t="n"/>
      <c r="V6" s="4" t="n"/>
      <c r="W6" s="4" t="n"/>
      <c r="X6" s="4" t="n"/>
      <c r="Y6" s="4" t="n"/>
      <c r="Z6" s="4" t="n"/>
      <c r="AA6" s="24" t="n"/>
      <c r="AB6" s="24" t="n"/>
      <c r="AC6" s="24" t="n"/>
      <c r="AD6" s="24" t="n"/>
      <c r="AE6" s="4" t="n"/>
      <c r="AF6" s="4" t="n"/>
    </row>
    <row r="7" ht="21.75" customHeight="1">
      <c r="A7" s="25" t="n"/>
      <c r="B7" s="25">
        <f>SUM('TAX CALCULATOR'!$Y$10:$Y$19)</f>
        <v/>
      </c>
      <c r="C7" s="25">
        <f>SUM('TAX CALCULATOR'!$Z$10:$Z$19)</f>
        <v/>
      </c>
      <c r="D7" s="25">
        <f>SUM('TAX CALCULATOR'!$AC$10:$AC$19)</f>
        <v/>
      </c>
      <c r="E7" s="25">
        <f>SUM('TAX CALCULATOR'!$AD$10:$AD$19)</f>
        <v/>
      </c>
      <c r="F7" s="26" t="n"/>
      <c r="G7" s="26" t="n"/>
      <c r="H7" s="27">
        <f>F7*H4</f>
        <v/>
      </c>
      <c r="I7" s="22" t="n"/>
      <c r="J7" s="22" t="n"/>
      <c r="K7" s="23" t="n"/>
      <c r="L7" s="22" t="n"/>
      <c r="M7" s="3" t="n"/>
      <c r="N7" s="4" t="n"/>
      <c r="O7" s="4" t="n"/>
      <c r="P7" s="4" t="n"/>
      <c r="Q7" s="5" t="n"/>
      <c r="R7" s="5" t="n"/>
      <c r="S7" s="5" t="n"/>
      <c r="T7" s="16" t="n"/>
      <c r="U7" s="16" t="n"/>
      <c r="V7" s="4" t="n"/>
      <c r="W7" s="4" t="n"/>
      <c r="X7" s="4" t="n"/>
      <c r="Y7" s="4" t="n"/>
      <c r="Z7" s="4" t="n"/>
      <c r="AA7" s="24" t="n"/>
      <c r="AB7" s="24" t="n"/>
      <c r="AC7" s="24" t="n"/>
      <c r="AD7" s="24" t="n"/>
      <c r="AE7" s="4" t="n"/>
      <c r="AF7" s="4" t="n"/>
    </row>
    <row r="8">
      <c r="A8" s="28" t="n"/>
      <c r="B8" s="28" t="n"/>
      <c r="C8" s="28" t="n"/>
      <c r="D8" s="28" t="n"/>
      <c r="E8" s="28" t="n"/>
      <c r="F8" s="20" t="n"/>
      <c r="G8" s="20" t="n"/>
      <c r="H8" s="29" t="n"/>
      <c r="I8" s="30" t="n"/>
      <c r="J8" s="30" t="n"/>
      <c r="K8" s="31" t="n"/>
      <c r="L8" s="30" t="n"/>
      <c r="M8" s="32" t="n"/>
      <c r="N8" s="33" t="n"/>
      <c r="O8" s="33" t="n"/>
      <c r="P8" s="33" t="n"/>
      <c r="Q8" s="34" t="n"/>
      <c r="R8" s="34" t="n"/>
      <c r="S8" s="34" t="n"/>
      <c r="T8" s="35" t="n"/>
      <c r="U8" s="35" t="n"/>
      <c r="V8" s="33" t="n"/>
      <c r="W8" s="33" t="n"/>
      <c r="X8" s="33" t="n"/>
      <c r="Y8" s="33" t="n"/>
      <c r="Z8" s="33" t="n"/>
      <c r="AA8" s="36" t="inlineStr">
        <is>
          <t>KKDF</t>
        </is>
      </c>
      <c r="AB8" s="36" t="inlineStr">
        <is>
          <t>WITHOUT KKDF</t>
        </is>
      </c>
      <c r="AC8" s="36" t="inlineStr">
        <is>
          <t>KKDF</t>
        </is>
      </c>
      <c r="AD8" s="36" t="inlineStr">
        <is>
          <t>WITHOUT KKDF</t>
        </is>
      </c>
      <c r="AE8" s="33" t="n"/>
      <c r="AF8" s="33" t="n"/>
    </row>
    <row r="9" ht="13.9" customHeight="1">
      <c r="A9" s="37" t="inlineStr">
        <is>
          <t>HTS Codes</t>
        </is>
      </c>
      <c r="B9" s="37" t="inlineStr">
        <is>
          <t>Country of Origin</t>
        </is>
      </c>
      <c r="C9" s="37" t="inlineStr">
        <is>
          <t>Style</t>
        </is>
      </c>
      <c r="D9" s="37" t="inlineStr">
        <is>
          <t>Color</t>
        </is>
      </c>
      <c r="E9" s="37" t="inlineStr">
        <is>
          <t>Category</t>
        </is>
      </c>
      <c r="F9" s="37" t="inlineStr">
        <is>
          <t>description</t>
        </is>
      </c>
      <c r="G9" s="38" t="inlineStr">
        <is>
          <t>Fabric Content</t>
        </is>
      </c>
      <c r="H9" s="39" t="inlineStr">
        <is>
          <t>Cost</t>
        </is>
      </c>
      <c r="I9" s="40" t="inlineStr">
        <is>
          <t>Unit</t>
        </is>
      </c>
      <c r="J9" s="41" t="inlineStr">
        <is>
          <t>Total Value</t>
        </is>
      </c>
      <c r="K9" s="42" t="inlineStr">
        <is>
          <t>TR HS CODE</t>
        </is>
      </c>
      <c r="L9" s="43" t="inlineStr">
        <is>
          <t>EX REGISTRY FORM</t>
        </is>
      </c>
      <c r="M9" s="43" t="inlineStr">
        <is>
          <t>AZO DYE TEST</t>
        </is>
      </c>
      <c r="N9" s="43" t="inlineStr">
        <is>
          <t>SPECIAL CUSTOMS</t>
        </is>
      </c>
      <c r="O9" s="44" t="inlineStr">
        <is>
          <t>TRANSPORT</t>
        </is>
      </c>
      <c r="P9" s="44" t="inlineStr">
        <is>
          <t>INSURANCE</t>
        </is>
      </c>
      <c r="Q9" s="45" t="inlineStr">
        <is>
          <t>STORAGE</t>
        </is>
      </c>
      <c r="R9" s="43" t="inlineStr">
        <is>
          <t>CUSTOMS TAX %</t>
        </is>
      </c>
      <c r="S9" s="43" t="inlineStr">
        <is>
          <t>ADDITIONAL CUSTOMS TAX %</t>
        </is>
      </c>
      <c r="T9" s="43" t="inlineStr">
        <is>
          <t>KKDF %</t>
        </is>
      </c>
      <c r="U9" s="43" t="inlineStr">
        <is>
          <t>VAT %</t>
        </is>
      </c>
      <c r="V9" s="43" t="inlineStr">
        <is>
          <t>TOTAL CUSTOMS TAX</t>
        </is>
      </c>
      <c r="W9" s="43" t="inlineStr">
        <is>
          <t>TOTAL ADDT CUSTOMS TAX</t>
        </is>
      </c>
      <c r="X9" s="43" t="inlineStr">
        <is>
          <t>KKDF VALUE</t>
        </is>
      </c>
      <c r="Y9" s="43" t="inlineStr">
        <is>
          <t>VAT VALUE</t>
        </is>
      </c>
      <c r="Z9" s="43" t="inlineStr">
        <is>
          <t>VAT VALUE2</t>
        </is>
      </c>
      <c r="AA9" s="43" t="inlineStr">
        <is>
          <t>VAT USD</t>
        </is>
      </c>
      <c r="AB9" s="43" t="inlineStr">
        <is>
          <t>VAT USD3</t>
        </is>
      </c>
      <c r="AC9" s="46" t="inlineStr">
        <is>
          <t xml:space="preserve">TOTAL TAX WITHOUT BANK ID </t>
        </is>
      </c>
      <c r="AD9" s="47" t="inlineStr">
        <is>
          <t xml:space="preserve">TOTAL TAX WITH BANK ID </t>
        </is>
      </c>
      <c r="AE9" s="48" t="inlineStr">
        <is>
          <t>TR DESC</t>
        </is>
      </c>
      <c r="AF9" s="6" t="inlineStr">
        <is>
          <t>QTY</t>
        </is>
      </c>
    </row>
    <row r="10" ht="15" customHeight="1">
      <c r="A10" s="49" t="n"/>
      <c r="B10" s="49" t="n"/>
      <c r="C10" s="50" t="n"/>
      <c r="D10" s="51" t="n"/>
      <c r="E10" s="49" t="n"/>
      <c r="F10" s="49" t="n"/>
      <c r="G10" s="52" t="n"/>
      <c r="H10" s="53" t="n"/>
      <c r="I10" s="54" t="n"/>
      <c r="J10" s="55" t="n"/>
      <c r="K10" s="56">
        <f t="array" ref="K10:K19">IFERROR(VLOOKUP(C10:C19,'[1]ALL PRODUCTS'!B2:L20000,11,FALSE),"")</f>
        <v/>
      </c>
      <c r="L10" s="56">
        <f t="array" ref="L10:L19">IFERROR(VLOOKUP(_xlfn.ANCHORARRAY(K10),'[1]HS CODE TAX REQ LIST'!A2:H125,2,FALSE)," ")</f>
        <v/>
      </c>
      <c r="M10" s="56">
        <f t="array" ref="M10:M19">IFERROR(VLOOKUP(_xlfn.ANCHORARRAY(K10),'[1]HS CODE TAX REQ LIST'!A2:H125,3,FALSE),"")</f>
        <v/>
      </c>
      <c r="N10" s="58">
        <f t="array" ref="N10:N19">IFERROR(VLOOKUP(_xlfn.ANCHORARRAY(K10),'[1]HS CODE TAX REQ LIST'!A2:H125,8,FALSE),"")</f>
        <v/>
      </c>
      <c r="O10" s="59" t="n"/>
      <c r="P10" s="59" t="n"/>
      <c r="Q10" s="60" t="n"/>
      <c r="R10" s="61" t="n"/>
      <c r="S10" s="62" t="n"/>
      <c r="T10" s="62" t="n"/>
      <c r="U10" s="62" t="n"/>
      <c r="V10" s="63" t="n"/>
      <c r="W10" s="63" t="n"/>
      <c r="X10" s="63" t="n"/>
      <c r="Y10" s="63">
        <f>IFERROR((J10+O10+P10+Q10+V10+W10+X10),"")</f>
        <v/>
      </c>
      <c r="Z10" s="63">
        <f>IFERROR((J10+O10+P10+Q10+V10+W10),"")</f>
        <v/>
      </c>
      <c r="AA10" s="63">
        <f>IFERROR((Y10*U10),"")</f>
        <v/>
      </c>
      <c r="AB10" s="63">
        <f>IFERROR((Z10*U10),"")</f>
        <v/>
      </c>
      <c r="AC10" s="63">
        <f>IFERROR((V10+W10+X10+AA10),"")</f>
        <v/>
      </c>
      <c r="AD10" s="64">
        <f>IFERROR((V10+W10+AA10),"")</f>
        <v/>
      </c>
      <c r="AE10" s="6">
        <f t="array" ref="AE10:AE19">IFERROR(VLOOKUP(_xlfn.ANCHORARRAY(K10),'[1]HS CODE TAX REQ LIST'!A2:I125,9,FALSE)," ")</f>
        <v/>
      </c>
      <c r="AF10" s="6">
        <f t="array" ref="AF10:AF19">IFERROR(VLOOKUP(_xlfn.ANCHORARRAY(K10),'[1]HS CODE TAX REQ LIST'!A2:J125,10,FALSE)," ")</f>
        <v/>
      </c>
    </row>
    <row r="11" ht="15" customHeight="1">
      <c r="A11" s="65" t="n"/>
      <c r="B11" s="65" t="n"/>
      <c r="C11" s="66" t="n"/>
      <c r="D11" s="67" t="n"/>
      <c r="E11" s="65" t="n"/>
      <c r="F11" s="65" t="n"/>
      <c r="G11" s="68" t="n"/>
      <c r="H11" s="69" t="n"/>
      <c r="I11" s="70" t="n"/>
      <c r="J11" s="71" t="n"/>
      <c r="K11" s="57" t="str"/>
      <c r="L11" s="57" t="inlineStr">
        <is>
          <t> </t>
        </is>
      </c>
      <c r="M11" s="57" t="str"/>
      <c r="N11" s="57" t="str"/>
      <c r="O11" s="72" t="n"/>
      <c r="P11" s="72" t="n"/>
      <c r="Q11" s="72" t="n"/>
      <c r="R11" s="73" t="n"/>
      <c r="S11" s="74" t="n"/>
      <c r="T11" s="74" t="n"/>
      <c r="U11" s="74" t="n"/>
      <c r="V11" s="72" t="n"/>
      <c r="W11" s="72" t="n"/>
      <c r="X11" s="72" t="n"/>
      <c r="Y11" s="72">
        <f>IFERROR((J11+O11+P11+Q11+V11+W11+X11),"")</f>
        <v/>
      </c>
      <c r="Z11" s="72">
        <f>IFERROR((J11+O11+P11+Q11+V11+W11),"")</f>
        <v/>
      </c>
      <c r="AA11" s="72">
        <f>IFERROR((Y11*U11),"")</f>
        <v/>
      </c>
      <c r="AB11" s="72">
        <f>IFERROR((Z11*U11),"")</f>
        <v/>
      </c>
      <c r="AC11" s="72">
        <f>IFERROR((V11+W11+X11+AA11),"")</f>
        <v/>
      </c>
      <c r="AD11" s="75">
        <f>IFERROR((V11+W11+AA11),"")</f>
        <v/>
      </c>
      <c r="AE11" s="6" t="inlineStr">
        <is>
          <t> </t>
        </is>
      </c>
      <c r="AF11" s="6" t="inlineStr">
        <is>
          <t> </t>
        </is>
      </c>
    </row>
    <row r="12" ht="15" customHeight="1">
      <c r="A12" s="49" t="n"/>
      <c r="B12" s="49" t="n"/>
      <c r="C12" s="50" t="n"/>
      <c r="D12" s="51" t="n"/>
      <c r="E12" s="49" t="n"/>
      <c r="F12" s="49" t="n"/>
      <c r="G12" s="52" t="n"/>
      <c r="H12" s="76" t="n"/>
      <c r="I12" s="77" t="n"/>
      <c r="J12" s="78" t="n"/>
      <c r="K12" s="58" t="str"/>
      <c r="L12" s="58" t="inlineStr">
        <is>
          <t> </t>
        </is>
      </c>
      <c r="M12" s="58" t="str"/>
      <c r="N12" s="58" t="str"/>
      <c r="O12" s="59" t="n"/>
      <c r="P12" s="59" t="n"/>
      <c r="Q12" s="59" t="n"/>
      <c r="R12" s="79" t="n"/>
      <c r="S12" s="80" t="n"/>
      <c r="T12" s="80" t="n"/>
      <c r="U12" s="80" t="n"/>
      <c r="V12" s="59" t="n"/>
      <c r="W12" s="59" t="n"/>
      <c r="X12" s="59" t="n"/>
      <c r="Y12" s="59">
        <f>IFERROR((J12+O12+P12+Q12+V12+W12+X12),"")</f>
        <v/>
      </c>
      <c r="Z12" s="59">
        <f>IFERROR((J12+O12+P12+Q12+V12+W12),"")</f>
        <v/>
      </c>
      <c r="AA12" s="59">
        <f>IFERROR((Y12*U12),"")</f>
        <v/>
      </c>
      <c r="AB12" s="59">
        <f>IFERROR((Z12*U12),"")</f>
        <v/>
      </c>
      <c r="AC12" s="59">
        <f>IFERROR((V12+W12+X12+AA12),"")</f>
        <v/>
      </c>
      <c r="AD12" s="81">
        <f>IFERROR((V12+W12+AA12),"")</f>
        <v/>
      </c>
      <c r="AE12" s="6" t="inlineStr">
        <is>
          <t> </t>
        </is>
      </c>
      <c r="AF12" s="6" t="inlineStr">
        <is>
          <t> </t>
        </is>
      </c>
    </row>
    <row r="13" ht="15" customHeight="1">
      <c r="A13" s="65" t="n"/>
      <c r="B13" s="65" t="n"/>
      <c r="C13" s="66" t="n"/>
      <c r="D13" s="67" t="n"/>
      <c r="E13" s="65" t="n"/>
      <c r="F13" s="65" t="n"/>
      <c r="G13" s="68" t="n"/>
      <c r="H13" s="69" t="n"/>
      <c r="I13" s="70" t="n"/>
      <c r="J13" s="71" t="n"/>
      <c r="K13" s="57" t="str"/>
      <c r="L13" s="57" t="inlineStr">
        <is>
          <t> </t>
        </is>
      </c>
      <c r="M13" s="57" t="str"/>
      <c r="N13" s="57" t="str"/>
      <c r="O13" s="72" t="n"/>
      <c r="P13" s="72" t="n"/>
      <c r="Q13" s="72" t="n"/>
      <c r="R13" s="73" t="n"/>
      <c r="S13" s="74" t="n"/>
      <c r="T13" s="74" t="n"/>
      <c r="U13" s="74" t="n"/>
      <c r="V13" s="72" t="n"/>
      <c r="W13" s="72" t="n"/>
      <c r="X13" s="72" t="n"/>
      <c r="Y13" s="72">
        <f>IFERROR((J13+O13+P13+Q13+V13+W13+X13),"")</f>
        <v/>
      </c>
      <c r="Z13" s="72">
        <f>IFERROR((J13+O13+P13+Q13+V13+W13),"")</f>
        <v/>
      </c>
      <c r="AA13" s="72">
        <f>IFERROR((Y13*U13),"")</f>
        <v/>
      </c>
      <c r="AB13" s="72">
        <f>IFERROR((Z13*U13),"")</f>
        <v/>
      </c>
      <c r="AC13" s="72">
        <f>IFERROR((V13+W13+X13+AA13),"")</f>
        <v/>
      </c>
      <c r="AD13" s="75">
        <f>IFERROR((V13+W13+AA13),"")</f>
        <v/>
      </c>
      <c r="AE13" s="6" t="inlineStr">
        <is>
          <t> </t>
        </is>
      </c>
      <c r="AF13" s="6" t="inlineStr">
        <is>
          <t> </t>
        </is>
      </c>
    </row>
    <row r="14" ht="14.25" customHeight="1">
      <c r="A14" s="49" t="n"/>
      <c r="B14" s="49" t="n"/>
      <c r="C14" s="50" t="n"/>
      <c r="D14" s="51" t="n"/>
      <c r="E14" s="49" t="n"/>
      <c r="F14" s="49" t="n"/>
      <c r="G14" s="82" t="n"/>
      <c r="H14" s="76" t="n"/>
      <c r="I14" s="77" t="n"/>
      <c r="J14" s="78" t="n"/>
      <c r="K14" s="58" t="str"/>
      <c r="L14" s="58" t="inlineStr">
        <is>
          <t> </t>
        </is>
      </c>
      <c r="M14" s="58" t="str"/>
      <c r="N14" s="58" t="str"/>
      <c r="O14" s="59" t="n"/>
      <c r="P14" s="59" t="n"/>
      <c r="Q14" s="59" t="n"/>
      <c r="R14" s="79" t="n"/>
      <c r="S14" s="80" t="n"/>
      <c r="T14" s="80" t="n"/>
      <c r="U14" s="80" t="n"/>
      <c r="V14" s="59" t="n"/>
      <c r="W14" s="59" t="n"/>
      <c r="X14" s="59" t="n"/>
      <c r="Y14" s="59">
        <f>IFERROR((J14+O14+P14+Q14+V14+W14+X14),"")</f>
        <v/>
      </c>
      <c r="Z14" s="59">
        <f>IFERROR((J14+O14+P14+Q14+V14+W14),"")</f>
        <v/>
      </c>
      <c r="AA14" s="59">
        <f>IFERROR((Y14*U14),"")</f>
        <v/>
      </c>
      <c r="AB14" s="59">
        <f>IFERROR((Z14*U14),"")</f>
        <v/>
      </c>
      <c r="AC14" s="59">
        <f>IFERROR((V14+W14+X14+AA14),"")</f>
        <v/>
      </c>
      <c r="AD14" s="81">
        <f>IFERROR((V14+W14+AA14),"")</f>
        <v/>
      </c>
      <c r="AE14" s="6" t="inlineStr">
        <is>
          <t> </t>
        </is>
      </c>
      <c r="AF14" s="6" t="inlineStr">
        <is>
          <t> </t>
        </is>
      </c>
    </row>
    <row r="15" ht="15" customHeight="1">
      <c r="A15" s="65" t="n"/>
      <c r="B15" s="65" t="n"/>
      <c r="C15" s="66" t="n"/>
      <c r="D15" s="67" t="n"/>
      <c r="E15" s="65" t="n"/>
      <c r="F15" s="65" t="n"/>
      <c r="G15" s="68" t="n"/>
      <c r="H15" s="69" t="n"/>
      <c r="I15" s="70" t="n"/>
      <c r="J15" s="71" t="n"/>
      <c r="K15" s="57" t="str"/>
      <c r="L15" s="57" t="inlineStr">
        <is>
          <t> </t>
        </is>
      </c>
      <c r="M15" s="57" t="str"/>
      <c r="N15" s="57" t="str"/>
      <c r="O15" s="72" t="n"/>
      <c r="P15" s="72" t="n"/>
      <c r="Q15" s="72" t="n"/>
      <c r="R15" s="73" t="n"/>
      <c r="S15" s="74" t="n"/>
      <c r="T15" s="74" t="n"/>
      <c r="U15" s="74" t="n"/>
      <c r="V15" s="72" t="n"/>
      <c r="W15" s="72" t="n"/>
      <c r="X15" s="72" t="n"/>
      <c r="Y15" s="72">
        <f>IFERROR((J15+O15+P15+Q15+V15+W15+X15),"")</f>
        <v/>
      </c>
      <c r="Z15" s="72">
        <f>IFERROR((J15+O15+P15+Q15+V15+W15),"")</f>
        <v/>
      </c>
      <c r="AA15" s="72">
        <f>IFERROR((Y15*U15),"")</f>
        <v/>
      </c>
      <c r="AB15" s="72">
        <f>IFERROR((Z15*U15),"")</f>
        <v/>
      </c>
      <c r="AC15" s="72">
        <f>IFERROR((V15+W15+X15+AA15),"")</f>
        <v/>
      </c>
      <c r="AD15" s="75">
        <f>IFERROR((V15+W15+AA15),"")</f>
        <v/>
      </c>
      <c r="AE15" s="6" t="inlineStr">
        <is>
          <t> </t>
        </is>
      </c>
      <c r="AF15" s="6" t="inlineStr">
        <is>
          <t> </t>
        </is>
      </c>
    </row>
    <row r="16" ht="15" customHeight="1">
      <c r="A16" s="49" t="n"/>
      <c r="B16" s="49" t="n"/>
      <c r="C16" s="50" t="n"/>
      <c r="D16" s="51" t="n"/>
      <c r="E16" s="49" t="n"/>
      <c r="F16" s="49" t="n"/>
      <c r="G16" s="52" t="n"/>
      <c r="H16" s="76" t="n"/>
      <c r="I16" s="77" t="n"/>
      <c r="J16" s="78" t="n"/>
      <c r="K16" s="58" t="str"/>
      <c r="L16" s="58" t="inlineStr">
        <is>
          <t> </t>
        </is>
      </c>
      <c r="M16" s="58" t="str"/>
      <c r="N16" s="58" t="str"/>
      <c r="O16" s="59" t="n"/>
      <c r="P16" s="59" t="n"/>
      <c r="Q16" s="59" t="n"/>
      <c r="R16" s="79" t="n"/>
      <c r="S16" s="80" t="n"/>
      <c r="T16" s="80" t="n"/>
      <c r="U16" s="80" t="n"/>
      <c r="V16" s="59" t="n"/>
      <c r="W16" s="59" t="n"/>
      <c r="X16" s="59" t="n"/>
      <c r="Y16" s="59">
        <f>IFERROR((J16+O16+P16+Q16+V16+W16+X16),"")</f>
        <v/>
      </c>
      <c r="Z16" s="59">
        <f>IFERROR((J16+O16+P16+Q16+V16+W16),"")</f>
        <v/>
      </c>
      <c r="AA16" s="59">
        <f>IFERROR((Y16*U16),"")</f>
        <v/>
      </c>
      <c r="AB16" s="59">
        <f>IFERROR((Z16*U16),"")</f>
        <v/>
      </c>
      <c r="AC16" s="59">
        <f>IFERROR((V16+W16+X16+AA16),"")</f>
        <v/>
      </c>
      <c r="AD16" s="81">
        <f>IFERROR((V16+W16+AA16),"")</f>
        <v/>
      </c>
      <c r="AE16" s="6" t="inlineStr">
        <is>
          <t> </t>
        </is>
      </c>
      <c r="AF16" s="6" t="inlineStr">
        <is>
          <t> </t>
        </is>
      </c>
    </row>
    <row r="17" ht="15" customHeight="1">
      <c r="A17" s="65" t="n"/>
      <c r="B17" s="65" t="n"/>
      <c r="C17" s="66" t="n"/>
      <c r="D17" s="67" t="n"/>
      <c r="E17" s="65" t="n"/>
      <c r="F17" s="65" t="n"/>
      <c r="G17" s="68" t="n"/>
      <c r="H17" s="69" t="n"/>
      <c r="I17" s="70" t="n"/>
      <c r="J17" s="71" t="n"/>
      <c r="K17" s="57" t="str"/>
      <c r="L17" s="57" t="inlineStr">
        <is>
          <t> </t>
        </is>
      </c>
      <c r="M17" s="57" t="str"/>
      <c r="N17" s="57" t="str"/>
      <c r="O17" s="72" t="n"/>
      <c r="P17" s="72" t="n"/>
      <c r="Q17" s="72" t="n"/>
      <c r="R17" s="73" t="n"/>
      <c r="S17" s="74" t="n"/>
      <c r="T17" s="74" t="n"/>
      <c r="U17" s="74" t="n"/>
      <c r="V17" s="72" t="n"/>
      <c r="W17" s="72" t="n"/>
      <c r="X17" s="72" t="n"/>
      <c r="Y17" s="72">
        <f>IFERROR((J17+O17+P17+Q17+V17+W17+X17),"")</f>
        <v/>
      </c>
      <c r="Z17" s="72">
        <f>IFERROR((J17+O17+P17+Q17+V17+W17),"")</f>
        <v/>
      </c>
      <c r="AA17" s="72">
        <f>IFERROR((Y17*U17),"")</f>
        <v/>
      </c>
      <c r="AB17" s="72">
        <f>IFERROR((Z17*U17),"")</f>
        <v/>
      </c>
      <c r="AC17" s="72">
        <f>IFERROR((V17+W17+X17+AA17),"")</f>
        <v/>
      </c>
      <c r="AD17" s="75">
        <f>IFERROR((V17+W17+AA17),"")</f>
        <v/>
      </c>
      <c r="AE17" s="6" t="inlineStr">
        <is>
          <t> </t>
        </is>
      </c>
      <c r="AF17" s="6" t="inlineStr">
        <is>
          <t> </t>
        </is>
      </c>
    </row>
    <row r="18" ht="15" customHeight="1">
      <c r="A18" s="49" t="n"/>
      <c r="B18" s="49" t="n"/>
      <c r="C18" s="50" t="n"/>
      <c r="D18" s="51" t="n"/>
      <c r="E18" s="49" t="n"/>
      <c r="F18" s="49" t="n"/>
      <c r="G18" s="52" t="n"/>
      <c r="H18" s="76" t="n"/>
      <c r="I18" s="77" t="n"/>
      <c r="J18" s="78" t="n"/>
      <c r="K18" s="58" t="str"/>
      <c r="L18" s="58" t="inlineStr">
        <is>
          <t> </t>
        </is>
      </c>
      <c r="M18" s="58" t="str"/>
      <c r="N18" s="58" t="str"/>
      <c r="O18" s="59" t="n"/>
      <c r="P18" s="59" t="n"/>
      <c r="Q18" s="59" t="n"/>
      <c r="R18" s="79" t="n"/>
      <c r="S18" s="80" t="n"/>
      <c r="T18" s="80" t="n"/>
      <c r="U18" s="80" t="n"/>
      <c r="V18" s="59" t="n"/>
      <c r="W18" s="59" t="n"/>
      <c r="X18" s="59" t="n"/>
      <c r="Y18" s="59">
        <f>IFERROR((J18+O18+P18+Q18+V18+W18+X18),"")</f>
        <v/>
      </c>
      <c r="Z18" s="59">
        <f>IFERROR((J18+O18+P18+Q18+V18+W18),"")</f>
        <v/>
      </c>
      <c r="AA18" s="59">
        <f>IFERROR((Y18*U18),"")</f>
        <v/>
      </c>
      <c r="AB18" s="59">
        <f>IFERROR((Z18*U18),"")</f>
        <v/>
      </c>
      <c r="AC18" s="59">
        <f>IFERROR((V18+W18+X18+AA18),"")</f>
        <v/>
      </c>
      <c r="AD18" s="81">
        <f>IFERROR((V18+W18+AA18),"")</f>
        <v/>
      </c>
      <c r="AE18" s="6" t="inlineStr">
        <is>
          <t> </t>
        </is>
      </c>
      <c r="AF18" s="6" t="inlineStr">
        <is>
          <t> </t>
        </is>
      </c>
    </row>
    <row r="19" ht="15" customHeight="1">
      <c r="A19" s="65" t="n"/>
      <c r="B19" s="65" t="n"/>
      <c r="C19" s="66" t="n"/>
      <c r="D19" s="67" t="n"/>
      <c r="E19" s="65" t="n"/>
      <c r="F19" s="65" t="n"/>
      <c r="G19" s="68" t="n"/>
      <c r="H19" s="69" t="n"/>
      <c r="I19" s="70" t="n"/>
      <c r="J19" s="71" t="n"/>
      <c r="K19" s="57" t="str"/>
      <c r="L19" s="57" t="inlineStr">
        <is>
          <t> </t>
        </is>
      </c>
      <c r="M19" s="57" t="str"/>
      <c r="N19" s="57" t="str"/>
      <c r="O19" s="72" t="n"/>
      <c r="P19" s="72" t="n"/>
      <c r="Q19" s="72" t="n"/>
      <c r="R19" s="73" t="n"/>
      <c r="S19" s="74" t="n"/>
      <c r="T19" s="74" t="n"/>
      <c r="U19" s="74" t="n"/>
      <c r="V19" s="72" t="n"/>
      <c r="W19" s="72" t="n"/>
      <c r="X19" s="72" t="n"/>
      <c r="Y19" s="72">
        <f>IFERROR((J19+O19+P19+Q19+V19+W19+X19),"")</f>
        <v/>
      </c>
      <c r="Z19" s="72">
        <f>IFERROR((J19+O19+P19+Q19+V19+W19),"")</f>
        <v/>
      </c>
      <c r="AA19" s="72">
        <f>IFERROR((Y19*U19),"")</f>
        <v/>
      </c>
      <c r="AB19" s="72">
        <f>IFERROR((Z19*U19),"")</f>
        <v/>
      </c>
      <c r="AC19" s="72">
        <f>IFERROR((V19+W19+X19+AA19),"")</f>
        <v/>
      </c>
      <c r="AD19" s="75">
        <f>IFERROR((V19+W19+AA19),"")</f>
        <v/>
      </c>
      <c r="AE19" s="6" t="inlineStr">
        <is>
          <t> </t>
        </is>
      </c>
      <c r="AF19" s="6" t="inlineStr">
        <is>
          <t> </t>
        </is>
      </c>
    </row>
  </sheetData>
  <mergeCells count="14">
    <mergeCell ref="B4:B5"/>
    <mergeCell ref="C4:C5"/>
    <mergeCell ref="A4:A5"/>
    <mergeCell ref="G4:G5"/>
    <mergeCell ref="D4:D5"/>
    <mergeCell ref="E4:E5"/>
    <mergeCell ref="H4:H5"/>
    <mergeCell ref="C2:C3"/>
    <mergeCell ref="A1:I1"/>
    <mergeCell ref="A2:A3"/>
    <mergeCell ref="B2:B3"/>
    <mergeCell ref="D2:D3"/>
    <mergeCell ref="G2:G3"/>
    <mergeCell ref="E2:E3"/>
  </mergeCells>
  <conditionalFormatting sqref="L10:N6000">
    <cfRule type="containsText" priority="1" operator="containsText" dxfId="0" text="X">
      <formula>NOT(ISERROR(SEARCH("X",L10)))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Cem Yıldırım</dc:creator>
  <dcterms:created xsi:type="dcterms:W3CDTF">2025-11-15T05:31:47Z</dcterms:created>
  <dcterms:modified xsi:type="dcterms:W3CDTF">2025-11-16T20:33:59Z</dcterms:modified>
  <cp:lastModifiedBy>Cem Yıldırım</cp:lastModifiedBy>
</cp:coreProperties>
</file>